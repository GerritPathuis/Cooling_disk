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datasheet Torrgas" sheetId="6" r:id="rId1"/>
    <sheet name="calculation double screw" sheetId="8" r:id="rId2"/>
    <sheet name="calculation single screw" sheetId="3" r:id="rId3"/>
  </sheets>
  <externalReferences>
    <externalReference r:id="rId4"/>
  </externalReferences>
  <definedNames>
    <definedName name="a">[1]uurtarieven!$A$1:$R$55</definedName>
    <definedName name="aantal_gangen" localSheetId="1">#REF!</definedName>
    <definedName name="aantal_gangen">#REF!</definedName>
    <definedName name="aantal_SC" localSheetId="1">#REF!</definedName>
    <definedName name="aantal_SC">#REF!</definedName>
    <definedName name="aantal_TL" localSheetId="1">#REF!</definedName>
    <definedName name="aantal_TL">#REF!</definedName>
    <definedName name="_xlnm.Print_Area" localSheetId="1">#REF!</definedName>
    <definedName name="_xlnm.Print_Area">#REF!</definedName>
    <definedName name="AFDRUKBEREIK_MI" localSheetId="1">#REF!</definedName>
    <definedName name="AFDRUKBEREIK_MI">#REF!</definedName>
    <definedName name="afdrukbereik_motorvermogen" localSheetId="1">#REF!</definedName>
    <definedName name="afdrukbereik_motorvermogen">#REF!</definedName>
    <definedName name="afdrukbereik_offerte" localSheetId="1">#REF!</definedName>
    <definedName name="afdrukbereik_offerte">#REF!</definedName>
    <definedName name="afdrukbereik_pag1_prijscalc" localSheetId="1">#REF!</definedName>
    <definedName name="afdrukbereik_pag1_prijscalc">#REF!</definedName>
    <definedName name="afdrukbereik_pag2_prijscalc" localSheetId="1">#REF!</definedName>
    <definedName name="afdrukbereik_pag2_prijscalc">#REF!</definedName>
    <definedName name="afdrukbereik_pag3_prijscalc" localSheetId="1">#REF!</definedName>
    <definedName name="afdrukbereik_pag3_prijscalc">#REF!</definedName>
    <definedName name="ATEX_categorie" localSheetId="1">#REF!</definedName>
    <definedName name="ATEX_categorie">#REF!</definedName>
    <definedName name="capaciteit" localSheetId="1">#REF!</definedName>
    <definedName name="capaciteit">#REF!</definedName>
    <definedName name="d.s.__faktor" localSheetId="1">#REF!</definedName>
    <definedName name="d.s.__faktor">#REF!</definedName>
    <definedName name="D_as" localSheetId="1">#REF!</definedName>
    <definedName name="D_as">#REF!</definedName>
    <definedName name="d_pijp" localSheetId="1">#REF!</definedName>
    <definedName name="d_pijp">#REF!</definedName>
    <definedName name="Dbuiten" localSheetId="1">#REF!</definedName>
    <definedName name="Dbuiten">#REF!</definedName>
    <definedName name="diam_lint_inw" localSheetId="1">#REF!</definedName>
    <definedName name="diam_lint_inw">#REF!</definedName>
    <definedName name="dikte_bekelding" localSheetId="1">#REF!</definedName>
    <definedName name="dikte_bekelding">#REF!</definedName>
    <definedName name="dikte_bekleding" localSheetId="1">#REF!</definedName>
    <definedName name="dikte_bekleding">#REF!</definedName>
    <definedName name="dikte_beschoeping" localSheetId="1">#REF!</definedName>
    <definedName name="dikte_beschoeping">#REF!</definedName>
    <definedName name="doorbuiging" localSheetId="1">#REF!</definedName>
    <definedName name="doorbuiging">#REF!</definedName>
    <definedName name="Dschroef" localSheetId="1">#REF!</definedName>
    <definedName name="Dschroef">#REF!</definedName>
    <definedName name="Elasticiteitsmodulus_staal" localSheetId="1">#REF!</definedName>
    <definedName name="Elasticiteitsmodulus_staal">#REF!</definedName>
    <definedName name="f_doorbuiging" localSheetId="1">#REF!</definedName>
    <definedName name="f_doorbuiging">#REF!</definedName>
    <definedName name="Fg" localSheetId="1">#REF!</definedName>
    <definedName name="Fg">#REF!</definedName>
    <definedName name="Gbuig" localSheetId="1">#REF!</definedName>
    <definedName name="Gbuig">#REF!</definedName>
    <definedName name="Gideele" localSheetId="1">#REF!</definedName>
    <definedName name="Gideele">#REF!</definedName>
    <definedName name="hoekfaktor" localSheetId="1">#REF!</definedName>
    <definedName name="hoekfaktor">#REF!</definedName>
    <definedName name="Ix__pijp" localSheetId="1">#REF!</definedName>
    <definedName name="Ix__pijp">#REF!</definedName>
    <definedName name="kkk" localSheetId="1">#REF!</definedName>
    <definedName name="kkk">#REF!</definedName>
    <definedName name="L_as" localSheetId="1">#REF!</definedName>
    <definedName name="L_as">#REF!</definedName>
    <definedName name="L_eindas" localSheetId="1">#REF!</definedName>
    <definedName name="L_eindas">#REF!</definedName>
    <definedName name="Lagerafstand_2x" localSheetId="1">#REF!</definedName>
    <definedName name="Lagerafstand_2x">#REF!</definedName>
    <definedName name="lengte_hoh_lagers" localSheetId="1">#REF!</definedName>
    <definedName name="lengte_hoh_lagers">#REF!</definedName>
    <definedName name="lengte_schroefstuk" localSheetId="1">#REF!</definedName>
    <definedName name="lengte_schroefstuk">#REF!</definedName>
    <definedName name="lengtefaktor" localSheetId="1">#REF!</definedName>
    <definedName name="lengtefaktor">#REF!</definedName>
    <definedName name="Lschroef" localSheetId="1">#REF!</definedName>
    <definedName name="Lschroef">#REF!</definedName>
    <definedName name="max_doorbuiging" localSheetId="1">#REF!</definedName>
    <definedName name="max_doorbuiging">#REF!</definedName>
    <definedName name="p_D" localSheetId="1">#REF!</definedName>
    <definedName name="p_D">#REF!</definedName>
    <definedName name="PRINT_AREA" localSheetId="1">#REF!</definedName>
    <definedName name="PRINT_AREA">#REF!</definedName>
    <definedName name="PRINT_AREA_MI" localSheetId="1">#REF!</definedName>
    <definedName name="PRINT_AREA_MI">#REF!</definedName>
    <definedName name="SGstaal" localSheetId="1">#REF!</definedName>
    <definedName name="SGstaal">#REF!</definedName>
    <definedName name="soortelijke_massa_staal" localSheetId="1">#REF!</definedName>
    <definedName name="soortelijke_massa_staal">#REF!</definedName>
    <definedName name="spiralen_assen." localSheetId="1">#REF!</definedName>
    <definedName name="spiralen_assen.">#REF!</definedName>
    <definedName name="spiralen_Schroefstuk_flenzen" localSheetId="1">#REF!</definedName>
    <definedName name="spiralen_Schroefstuk_flenzen">#REF!</definedName>
    <definedName name="spiralenKuip" localSheetId="1">#REF!</definedName>
    <definedName name="spiralenKuip">#REF!</definedName>
    <definedName name="spoed" localSheetId="1">#REF!</definedName>
    <definedName name="spoed">#REF!</definedName>
    <definedName name="tabel_spiralen" localSheetId="1">#REF!</definedName>
    <definedName name="tabel_spiralen">#REF!</definedName>
    <definedName name="tabel_twk_coax">'[1]schroef&amp; pijp'!$V$63:$Z$73</definedName>
    <definedName name="tabel_twk_opsteek">'[1]schroef&amp; pijp'!$V$48:$Z$59</definedName>
    <definedName name="volblad_assen" localSheetId="1">#REF!</definedName>
    <definedName name="volblad_assen">#REF!</definedName>
    <definedName name="volblad_kuip" localSheetId="1">#REF!</definedName>
    <definedName name="volblad_kuip">#REF!</definedName>
    <definedName name="volblad_schroefstuk_flens" localSheetId="1">#REF!</definedName>
    <definedName name="volblad_schroefstuk_flens">#REF!</definedName>
    <definedName name="wanddikte_pijp" localSheetId="1">#REF!</definedName>
    <definedName name="wanddikte_pijp">#REF!</definedName>
    <definedName name="wandpijp" localSheetId="1">#REF!</definedName>
    <definedName name="wandpijp">#REF!</definedName>
    <definedName name="Wbuiging" localSheetId="1">#REF!</definedName>
    <definedName name="Wbuiging">#REF!</definedName>
    <definedName name="Wwringing" localSheetId="1">#REF!</definedName>
    <definedName name="Wwringing">#REF!</definedName>
  </definedNames>
  <calcPr calcId="125725"/>
</workbook>
</file>

<file path=xl/calcChain.xml><?xml version="1.0" encoding="utf-8"?>
<calcChain xmlns="http://schemas.openxmlformats.org/spreadsheetml/2006/main">
  <c r="C25" i="8"/>
  <c r="C26" s="1"/>
  <c r="C27" s="1"/>
  <c r="C16"/>
  <c r="C20"/>
  <c r="C15"/>
  <c r="C19" s="1"/>
  <c r="D48" i="3"/>
  <c r="D47"/>
  <c r="D46"/>
  <c r="C30"/>
  <c r="C46"/>
  <c r="C48"/>
  <c r="C47"/>
  <c r="T65" l="1"/>
  <c r="L65"/>
  <c r="D89"/>
  <c r="C21" i="8" l="1"/>
  <c r="C22" s="1"/>
  <c r="D81" i="3" l="1"/>
  <c r="D80"/>
  <c r="D79"/>
  <c r="D78"/>
  <c r="D73"/>
  <c r="D65"/>
  <c r="C65"/>
  <c r="C62"/>
  <c r="C63" s="1"/>
  <c r="C64" s="1"/>
  <c r="D27"/>
  <c r="D29"/>
  <c r="AA16"/>
  <c r="C89"/>
  <c r="C77"/>
  <c r="C74"/>
  <c r="C72"/>
  <c r="C71"/>
  <c r="M91"/>
  <c r="S89"/>
  <c r="M72"/>
  <c r="AA18"/>
  <c r="AA17"/>
  <c r="C106" l="1"/>
  <c r="C105"/>
  <c r="C107" s="1"/>
  <c r="C45"/>
  <c r="C75"/>
  <c r="L81"/>
  <c r="C91"/>
  <c r="C66"/>
  <c r="AA19"/>
  <c r="C76"/>
  <c r="C49" l="1"/>
  <c r="C67"/>
  <c r="C92"/>
  <c r="D31" l="1"/>
  <c r="E39"/>
  <c r="D33"/>
  <c r="D34" s="1"/>
  <c r="D35" s="1"/>
  <c r="D36" s="1"/>
  <c r="D42" s="1"/>
  <c r="C33"/>
  <c r="C34" s="1"/>
  <c r="C35" s="1"/>
  <c r="D32"/>
  <c r="D28"/>
  <c r="D74" s="1"/>
  <c r="D26"/>
  <c r="D77" s="1"/>
  <c r="D76" s="1"/>
  <c r="D25"/>
  <c r="D72" s="1"/>
  <c r="D24"/>
  <c r="D71" s="1"/>
  <c r="D23"/>
  <c r="Z24"/>
  <c r="M47"/>
  <c r="AG39"/>
  <c r="AG41" s="1"/>
  <c r="D45" l="1"/>
  <c r="D75"/>
  <c r="D106"/>
  <c r="D105"/>
  <c r="D107" s="1"/>
  <c r="D62"/>
  <c r="D63" s="1"/>
  <c r="D64" s="1"/>
  <c r="D91" s="1"/>
  <c r="D30"/>
  <c r="O32"/>
  <c r="P32"/>
  <c r="Q33" s="1"/>
  <c r="C36"/>
  <c r="C42" s="1"/>
  <c r="E34"/>
  <c r="O33"/>
  <c r="M41"/>
  <c r="M43" s="1"/>
  <c r="N39"/>
  <c r="N41" s="1"/>
  <c r="N43" s="1"/>
  <c r="P33"/>
  <c r="AG43"/>
  <c r="M40"/>
  <c r="AG47"/>
  <c r="AG40"/>
  <c r="D49" l="1"/>
  <c r="D66"/>
  <c r="D92" s="1"/>
  <c r="N47"/>
  <c r="O39"/>
  <c r="O47" s="1"/>
  <c r="N40"/>
  <c r="N48" s="1"/>
  <c r="AG44"/>
  <c r="AG45" s="1"/>
  <c r="AG46" s="1"/>
  <c r="AG48"/>
  <c r="M44"/>
  <c r="M45" s="1"/>
  <c r="M46" s="1"/>
  <c r="M48"/>
  <c r="Q32"/>
  <c r="M42"/>
  <c r="AG42"/>
  <c r="N44"/>
  <c r="N45" s="1"/>
  <c r="N46" s="1"/>
  <c r="D67" l="1"/>
  <c r="N42"/>
  <c r="O40"/>
  <c r="O48" s="1"/>
  <c r="P39"/>
  <c r="P41" s="1"/>
  <c r="P43" s="1"/>
  <c r="O41"/>
  <c r="O43" s="1"/>
  <c r="O42" l="1"/>
  <c r="P40"/>
  <c r="P42" s="1"/>
  <c r="P44" s="1"/>
  <c r="P45" s="1"/>
  <c r="P46" s="1"/>
  <c r="Q39"/>
  <c r="Q47" s="1"/>
  <c r="P47"/>
  <c r="O44"/>
  <c r="O45" s="1"/>
  <c r="O46" s="1"/>
  <c r="Q41" l="1"/>
  <c r="Q43" s="1"/>
  <c r="P48"/>
  <c r="R39"/>
  <c r="R40" s="1"/>
  <c r="Q40"/>
  <c r="Q42" s="1"/>
  <c r="Q44" s="1"/>
  <c r="Q45" l="1"/>
  <c r="Q46" s="1"/>
  <c r="R47"/>
  <c r="R41"/>
  <c r="R43" s="1"/>
  <c r="Q48"/>
  <c r="S39"/>
  <c r="S40" s="1"/>
  <c r="R48"/>
  <c r="R42"/>
  <c r="R44" s="1"/>
  <c r="R45" l="1"/>
  <c r="R46" s="1"/>
  <c r="S47"/>
  <c r="S41"/>
  <c r="S43" s="1"/>
  <c r="T39"/>
  <c r="T47" s="1"/>
  <c r="S48"/>
  <c r="S42"/>
  <c r="S44" s="1"/>
  <c r="T41" l="1"/>
  <c r="T43" s="1"/>
  <c r="U39"/>
  <c r="V39" s="1"/>
  <c r="S45"/>
  <c r="S46" s="1"/>
  <c r="T40"/>
  <c r="T48" s="1"/>
  <c r="T42" l="1"/>
  <c r="T44" s="1"/>
  <c r="T45" s="1"/>
  <c r="T46" s="1"/>
  <c r="U40"/>
  <c r="U42" s="1"/>
  <c r="U44" s="1"/>
  <c r="U47"/>
  <c r="U41"/>
  <c r="U43" s="1"/>
  <c r="V47"/>
  <c r="W39"/>
  <c r="V40"/>
  <c r="V41"/>
  <c r="V43" s="1"/>
  <c r="U48" l="1"/>
  <c r="U45"/>
  <c r="U46" s="1"/>
  <c r="X39"/>
  <c r="W47"/>
  <c r="W40"/>
  <c r="W41"/>
  <c r="W43" s="1"/>
  <c r="V48"/>
  <c r="V42"/>
  <c r="V44" s="1"/>
  <c r="V45" s="1"/>
  <c r="V46" s="1"/>
  <c r="W48" l="1"/>
  <c r="W42"/>
  <c r="W44" s="1"/>
  <c r="W45" s="1"/>
  <c r="W46" s="1"/>
  <c r="Y39"/>
  <c r="X40"/>
  <c r="X47"/>
  <c r="X41"/>
  <c r="X43" s="1"/>
  <c r="Z39" l="1"/>
  <c r="Y47"/>
  <c r="Y40"/>
  <c r="Y41"/>
  <c r="Y43" s="1"/>
  <c r="X48"/>
  <c r="X42"/>
  <c r="X44" s="1"/>
  <c r="X45" s="1"/>
  <c r="X46" s="1"/>
  <c r="AA39" l="1"/>
  <c r="Z40"/>
  <c r="Z41"/>
  <c r="Z43" s="1"/>
  <c r="Z47"/>
  <c r="Y48"/>
  <c r="Y42"/>
  <c r="Y44" s="1"/>
  <c r="Y45" s="1"/>
  <c r="Y46" s="1"/>
  <c r="Z48" l="1"/>
  <c r="Z42"/>
  <c r="Z44" s="1"/>
  <c r="Z45" s="1"/>
  <c r="Z46" s="1"/>
  <c r="AB39"/>
  <c r="AA41"/>
  <c r="AA43" s="1"/>
  <c r="AA40"/>
  <c r="AA47"/>
  <c r="AC39" l="1"/>
  <c r="AB47"/>
  <c r="AB41"/>
  <c r="AB43" s="1"/>
  <c r="AB40"/>
  <c r="AA48"/>
  <c r="AA42"/>
  <c r="AA44" s="1"/>
  <c r="AA45" s="1"/>
  <c r="AA46" s="1"/>
  <c r="AB48" l="1"/>
  <c r="AB42"/>
  <c r="AB44"/>
  <c r="AB45" s="1"/>
  <c r="AB46" s="1"/>
  <c r="AD39"/>
  <c r="AC41"/>
  <c r="AC43" s="1"/>
  <c r="AC47"/>
  <c r="AC40"/>
  <c r="AC48" l="1"/>
  <c r="AC42"/>
  <c r="AC44" s="1"/>
  <c r="AC45" s="1"/>
  <c r="AC46" s="1"/>
  <c r="AE39"/>
  <c r="AD47"/>
  <c r="AD40"/>
  <c r="AD41"/>
  <c r="AD43" s="1"/>
  <c r="AF39" l="1"/>
  <c r="AE40"/>
  <c r="AE47"/>
  <c r="AE41"/>
  <c r="AE43" s="1"/>
  <c r="AD48"/>
  <c r="AD42"/>
  <c r="AD44" s="1"/>
  <c r="AD45" s="1"/>
  <c r="AD46" s="1"/>
  <c r="AF40" l="1"/>
  <c r="AF41"/>
  <c r="AF43" s="1"/>
  <c r="AF47"/>
  <c r="AE48"/>
  <c r="AE42"/>
  <c r="AE44" s="1"/>
  <c r="AE45" s="1"/>
  <c r="AE46" s="1"/>
  <c r="Z26" l="1"/>
  <c r="AF48"/>
  <c r="AF44"/>
  <c r="AF45" s="1"/>
  <c r="AF46" s="1"/>
  <c r="Z30" s="1"/>
  <c r="AA30" s="1"/>
  <c r="AB30" s="1"/>
  <c r="AF42"/>
  <c r="Z25" l="1"/>
  <c r="AA25" s="1"/>
  <c r="AB25" s="1"/>
  <c r="Z31" s="1"/>
  <c r="Z32" s="1"/>
  <c r="Z33" s="1"/>
  <c r="C44" s="1"/>
  <c r="D44" s="1"/>
  <c r="AA26"/>
  <c r="AB26" s="1"/>
  <c r="Z27" l="1"/>
  <c r="R33" s="1"/>
  <c r="Z28" l="1"/>
  <c r="Z29" s="1"/>
  <c r="R32"/>
  <c r="C43" l="1"/>
  <c r="D43" s="1"/>
  <c r="D50" s="1"/>
  <c r="D51" s="1"/>
  <c r="D82" s="1"/>
  <c r="D93" s="1"/>
  <c r="D95" s="1"/>
  <c r="D97" l="1"/>
  <c r="D98"/>
  <c r="C50"/>
  <c r="D83"/>
  <c r="C51"/>
  <c r="C82" s="1"/>
  <c r="D110" l="1"/>
  <c r="D109"/>
  <c r="D108"/>
  <c r="D115"/>
  <c r="D99"/>
  <c r="P85"/>
  <c r="C93"/>
  <c r="C95" s="1"/>
  <c r="D85"/>
  <c r="D84"/>
  <c r="C83"/>
  <c r="C98" l="1"/>
  <c r="C97"/>
  <c r="C115" s="1"/>
  <c r="C108"/>
  <c r="P69"/>
  <c r="D111"/>
  <c r="D112" s="1"/>
  <c r="C84"/>
  <c r="C110"/>
  <c r="C109"/>
  <c r="C85"/>
  <c r="D114" l="1"/>
  <c r="D116" s="1"/>
  <c r="C111"/>
  <c r="C99"/>
  <c r="C114" l="1"/>
  <c r="C116" s="1"/>
  <c r="C112"/>
  <c r="M101" s="1"/>
  <c r="R102" s="1"/>
</calcChain>
</file>

<file path=xl/comments1.xml><?xml version="1.0" encoding="utf-8"?>
<comments xmlns="http://schemas.openxmlformats.org/spreadsheetml/2006/main">
  <authors>
    <author>Auteur</author>
  </authors>
  <commentList>
    <comment ref="A97" authorId="0">
      <text>
        <r>
          <rPr>
            <b/>
            <sz val="10"/>
            <color indexed="81"/>
            <rFont val="Tahoma"/>
            <family val="2"/>
          </rPr>
          <t xml:space="preserve"> torque for motor selection is larger --&gt; restrict max. torque e.g. on frequency inverter</t>
        </r>
      </text>
    </comment>
    <comment ref="A113" authorId="0">
      <text>
        <r>
          <rPr>
            <b/>
            <sz val="10"/>
            <color indexed="81"/>
            <rFont val="Tahoma"/>
            <family val="2"/>
          </rPr>
          <t>gas flow through slit calculated based on slit width = deflection + minimum tolerance</t>
        </r>
      </text>
    </comment>
    <comment ref="A116" authorId="0">
      <text>
        <r>
          <rPr>
            <b/>
            <sz val="10"/>
            <color indexed="81"/>
            <rFont val="Tahoma"/>
            <family val="2"/>
          </rPr>
          <t>worst case: based on the assumption that points of maximum torsion stress and maximum bending stress coincide</t>
        </r>
      </text>
    </comment>
  </commentList>
</comments>
</file>

<file path=xl/sharedStrings.xml><?xml version="1.0" encoding="utf-8"?>
<sst xmlns="http://schemas.openxmlformats.org/spreadsheetml/2006/main" count="315" uniqueCount="192">
  <si>
    <t>°C</t>
  </si>
  <si>
    <t>kg/h</t>
  </si>
  <si>
    <t>m3/h</t>
  </si>
  <si>
    <t>%</t>
  </si>
  <si>
    <t>J/kgK</t>
  </si>
  <si>
    <t>kW</t>
  </si>
  <si>
    <t>TLMTD</t>
  </si>
  <si>
    <t>45-85 W/m2K for fair conductors</t>
  </si>
  <si>
    <t>34-57 W/m2K for poor conductors</t>
  </si>
  <si>
    <t>-</t>
  </si>
  <si>
    <t>m</t>
  </si>
  <si>
    <t>W/mK</t>
  </si>
  <si>
    <t>m2</t>
  </si>
  <si>
    <t>W/m2K</t>
  </si>
  <si>
    <t>W/K</t>
  </si>
  <si>
    <t>*Perry, p.11-68, screw with high fill level</t>
  </si>
  <si>
    <t>**[Acosta-Iborra, Campo, Approximate analytic temperature distribution and efficiency for annular fins of uniform thickness]</t>
  </si>
  <si>
    <t>h</t>
  </si>
  <si>
    <t>h'</t>
  </si>
  <si>
    <t>θ</t>
  </si>
  <si>
    <t>rad</t>
  </si>
  <si>
    <t>Ahull covered</t>
  </si>
  <si>
    <t>Aaxis covered</t>
  </si>
  <si>
    <t>Ahull-Aaxis covered</t>
  </si>
  <si>
    <t>Fill level</t>
  </si>
  <si>
    <t>θ'</t>
  </si>
  <si>
    <t>fill level</t>
  </si>
  <si>
    <t>find fill level</t>
  </si>
  <si>
    <t>Dhull</t>
  </si>
  <si>
    <t>Dshaft</t>
  </si>
  <si>
    <t>Ahull-Ashaft</t>
  </si>
  <si>
    <t xml:space="preserve">m </t>
  </si>
  <si>
    <t>Ahull per m screw</t>
  </si>
  <si>
    <t>find bed height h</t>
  </si>
  <si>
    <t>find bed height h'</t>
  </si>
  <si>
    <t>linear interpolation h</t>
  </si>
  <si>
    <t>Ashaft per m screw</t>
  </si>
  <si>
    <t>linear interpolation h'</t>
  </si>
  <si>
    <t>Calculations for single screw</t>
  </si>
  <si>
    <t>kg/m3</t>
  </si>
  <si>
    <t>invoer</t>
  </si>
  <si>
    <t>Char</t>
  </si>
  <si>
    <t>max</t>
  </si>
  <si>
    <t>nominal</t>
  </si>
  <si>
    <t>ASSUMED</t>
  </si>
  <si>
    <t>LOW VALUE ASSUMED</t>
  </si>
  <si>
    <t>28-200W/m2K for double screw, which drops to 5.5-11W/m2Kin case of serious caking</t>
  </si>
  <si>
    <t>mm</t>
  </si>
  <si>
    <t>Screw dimensions</t>
  </si>
  <si>
    <t>Dhull_inside</t>
  </si>
  <si>
    <t>taken as screw diameter (tolerances=0)</t>
  </si>
  <si>
    <t>Dshaft/Dhull</t>
  </si>
  <si>
    <t>Dshaft_outside</t>
  </si>
  <si>
    <t>check availability thick walled tube</t>
  </si>
  <si>
    <t>Wall thickness axis</t>
  </si>
  <si>
    <t>N</t>
  </si>
  <si>
    <t>rpm</t>
  </si>
  <si>
    <t>Wall thickness blades</t>
  </si>
  <si>
    <t>Pitch/Dhull</t>
  </si>
  <si>
    <t>Pitch</t>
  </si>
  <si>
    <t>Length outlet</t>
  </si>
  <si>
    <t>Length inlet</t>
  </si>
  <si>
    <t>Length outside hull 2x</t>
  </si>
  <si>
    <t>seal, bearing, extension of axis</t>
  </si>
  <si>
    <t>Bearing distance 2x</t>
  </si>
  <si>
    <t>Single (1) or double flight (2)</t>
  </si>
  <si>
    <t>Screw length for content</t>
  </si>
  <si>
    <t>includes inlet</t>
  </si>
  <si>
    <t>Total length</t>
  </si>
  <si>
    <t>nr of pitches</t>
  </si>
  <si>
    <t>Total 'shipping' length</t>
  </si>
  <si>
    <t>Volumetric efficiency</t>
  </si>
  <si>
    <t>Screw speed</t>
  </si>
  <si>
    <t>m/s</t>
  </si>
  <si>
    <t>Stress &amp; deflection</t>
  </si>
  <si>
    <t>Density steel</t>
  </si>
  <si>
    <t>E</t>
  </si>
  <si>
    <t>N/mm2</t>
  </si>
  <si>
    <t>see table</t>
  </si>
  <si>
    <t>Nm</t>
  </si>
  <si>
    <t>Torque safety factor</t>
  </si>
  <si>
    <t>Torque installed</t>
  </si>
  <si>
    <t>check availability installed torque</t>
  </si>
  <si>
    <t>Power consumed</t>
  </si>
  <si>
    <t>W</t>
  </si>
  <si>
    <t>Power installed</t>
  </si>
  <si>
    <t>Ix (pipe)</t>
  </si>
  <si>
    <t>x 10.000 mm4</t>
  </si>
  <si>
    <t>Wtorsion</t>
  </si>
  <si>
    <t>x 1.000 mm3</t>
  </si>
  <si>
    <t>Wbending</t>
  </si>
  <si>
    <t>T</t>
  </si>
  <si>
    <t>Re(0.2)</t>
  </si>
  <si>
    <t>T&lt;100:E=192</t>
  </si>
  <si>
    <t>Length c-t-c bearings</t>
  </si>
  <si>
    <t>N/mm²</t>
  </si>
  <si>
    <t>kN/mm²</t>
  </si>
  <si>
    <t>T&gt;100:E=198-0.072T</t>
  </si>
  <si>
    <t>Weight of screw flights</t>
  </si>
  <si>
    <t>kg</t>
  </si>
  <si>
    <t>316L</t>
  </si>
  <si>
    <t>Aust.ss</t>
  </si>
  <si>
    <t>Weight of shaft</t>
  </si>
  <si>
    <t>Total mass shaft + flights</t>
  </si>
  <si>
    <t>Deflection</t>
  </si>
  <si>
    <t>Minimum tolerance</t>
  </si>
  <si>
    <t>Bending stress</t>
  </si>
  <si>
    <t xml:space="preserve">Reference: Rtod D0105 app2 </t>
  </si>
  <si>
    <t>Torsion stress</t>
  </si>
  <si>
    <t>based on installed torque</t>
  </si>
  <si>
    <t>σ ideal shaft</t>
  </si>
  <si>
    <t>bulk density</t>
  </si>
  <si>
    <t>occupied volume per pitch</t>
  </si>
  <si>
    <t>m3/rev</t>
  </si>
  <si>
    <t>consumed torque screw section without multiplication factor</t>
  </si>
  <si>
    <t>multiplication factor</t>
  </si>
  <si>
    <t>consumed torque total</t>
  </si>
  <si>
    <t>includes inlet and outlet</t>
  </si>
  <si>
    <t>inlet contributes fully in heat transfer</t>
  </si>
  <si>
    <t>outlet does not contribute in heat transfer</t>
  </si>
  <si>
    <t>for calculation of stress and deflection</t>
  </si>
  <si>
    <t>translation per revolution of screw at 100% volumetric efficiency</t>
  </si>
  <si>
    <t>product</t>
  </si>
  <si>
    <t>capacity</t>
  </si>
  <si>
    <t>inlet temperature of product</t>
  </si>
  <si>
    <t>outlet temperature of product</t>
  </si>
  <si>
    <t>specific heat of product</t>
  </si>
  <si>
    <t>cooling water inlet temperature</t>
  </si>
  <si>
    <t>cooling water capacity</t>
  </si>
  <si>
    <t>number of screws serial</t>
  </si>
  <si>
    <t>diameter of axis</t>
  </si>
  <si>
    <t>diameter of hull</t>
  </si>
  <si>
    <t>pitch</t>
  </si>
  <si>
    <t>thickness of flights</t>
  </si>
  <si>
    <t>tolerances between flights and hull</t>
  </si>
  <si>
    <t>height of flights</t>
  </si>
  <si>
    <t>thermal conductivity flight material</t>
  </si>
  <si>
    <t>heat transfer</t>
  </si>
  <si>
    <t>outlet temperature of cooling water</t>
  </si>
  <si>
    <t>U*Aeffective</t>
  </si>
  <si>
    <t>Basic parameters</t>
  </si>
  <si>
    <t>Heat transfer calculations</t>
  </si>
  <si>
    <t>Contribution of flight in heat transfer: 0=no contribution of flights; 1=internally cooled flights; 2=flights as cooling fin attached to shaft</t>
  </si>
  <si>
    <t>heat transfer modus of flights</t>
  </si>
  <si>
    <t>heat transfer coefficient*</t>
  </si>
  <si>
    <t>Aeffective total required for cooling</t>
  </si>
  <si>
    <t>required for cooling</t>
  </si>
  <si>
    <t>single pass counter flow</t>
  </si>
  <si>
    <t>stainless: 16W/mK</t>
  </si>
  <si>
    <t>0,5*(D-d)-tolerance</t>
  </si>
  <si>
    <t>single screw, full area in contact with product is being cooled</t>
  </si>
  <si>
    <t>by approximation: flights simplified as discs</t>
  </si>
  <si>
    <t>in case flights act as cooling fins</t>
  </si>
  <si>
    <t>Atrog effective per m screw</t>
  </si>
  <si>
    <t>Ashaft effective per m screw</t>
  </si>
  <si>
    <t>Aflights per m screw</t>
  </si>
  <si>
    <t>cooling fin efficiency**</t>
  </si>
  <si>
    <t>Aflights effective per m screw</t>
  </si>
  <si>
    <t>Atotal effective per m screw</t>
  </si>
  <si>
    <t>free cross. area of screw</t>
  </si>
  <si>
    <t>occupied cross. area of screw</t>
  </si>
  <si>
    <t>rotating speed</t>
  </si>
  <si>
    <t>tip speed</t>
  </si>
  <si>
    <t>effective screw length required for cooling</t>
  </si>
  <si>
    <t>depending on fill level</t>
  </si>
  <si>
    <t>higher fill level increases heat transfer rate because of better mixing</t>
  </si>
  <si>
    <t>CASE 1</t>
  </si>
  <si>
    <t>CASE 2</t>
  </si>
  <si>
    <t>case name</t>
  </si>
  <si>
    <t>m3 per revolution at 100% vol. eff.</t>
  </si>
  <si>
    <t>Classical calculations of torque and power</t>
  </si>
  <si>
    <t>Berekeningen GVG, 23-5-2016</t>
  </si>
  <si>
    <t>1+0.35*LN(r2/r1)  **</t>
  </si>
  <si>
    <t>L*(h/(k*0.5t))^0.5  **</t>
  </si>
  <si>
    <t>for Schmidt approximation</t>
  </si>
  <si>
    <t>number of cooling fins</t>
  </si>
  <si>
    <t>heat transfer coefficient (external)</t>
  </si>
  <si>
    <t>outer diameter of fin</t>
  </si>
  <si>
    <t>inner diameter of fin</t>
  </si>
  <si>
    <t>thickness of fin</t>
  </si>
  <si>
    <t>Area of fin (2 sides)</t>
  </si>
  <si>
    <t>height of fin</t>
  </si>
  <si>
    <t>thermal conductivity of fin material</t>
  </si>
  <si>
    <t>cooling fin efficiency: TANH(L*A)/(L*A)</t>
  </si>
  <si>
    <t>A=(pi*h/kt)^0.5</t>
  </si>
  <si>
    <t>Fin parameters</t>
  </si>
  <si>
    <t>effective fin area</t>
  </si>
  <si>
    <t>Method 1</t>
  </si>
  <si>
    <t>Method 2</t>
  </si>
  <si>
    <t>Fin efficiency for fins with uniform thickness</t>
  </si>
  <si>
    <t>input</t>
  </si>
  <si>
    <t>Heat transfer by the fin can be calculated by taking the external heat transfer coefficient and the effective fin area (the fin efficiency times the total fin area)</t>
  </si>
</sst>
</file>

<file path=xl/styles.xml><?xml version="1.0" encoding="utf-8"?>
<styleSheet xmlns="http://schemas.openxmlformats.org/spreadsheetml/2006/main">
  <numFmts count="13">
    <numFmt numFmtId="164" formatCode="0.000"/>
    <numFmt numFmtId="165" formatCode="0.0"/>
    <numFmt numFmtId="166" formatCode="0.00_)"/>
    <numFmt numFmtId="168" formatCode="0.00&quot;m&quot;"/>
    <numFmt numFmtId="169" formatCode="0&quot;mm&quot;"/>
    <numFmt numFmtId="170" formatCode="General\ &quot;see torque calculation sheet&quot;"/>
    <numFmt numFmtId="171" formatCode="&quot;=consumed torque times&quot;\ 0.00_)"/>
    <numFmt numFmtId="172" formatCode="0_)"/>
    <numFmt numFmtId="173" formatCode="\&lt;0.00\ &quot;:length between bearings / 1500&quot;"/>
    <numFmt numFmtId="174" formatCode="\&lt;0\ &quot;MPa: fatigue limit depending on material and conditions&quot;"/>
    <numFmt numFmtId="175" formatCode="_(* #,##0.00_);_(* \(#,##0.00\);_(* &quot;-&quot;??_);_(@_)"/>
    <numFmt numFmtId="176" formatCode="_(&quot;$&quot;* #,##0.00_);_(&quot;$&quot;* \(#,##0.00\);_(&quot;$&quot;* &quot;-&quot;??_);_(@_)"/>
    <numFmt numFmtId="177" formatCode="0.0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ourier"/>
      <family val="3"/>
    </font>
    <font>
      <b/>
      <sz val="10"/>
      <color indexed="81"/>
      <name val="Tahoma"/>
      <family val="2"/>
    </font>
    <font>
      <sz val="12"/>
      <name val="Times New Roman"/>
      <family val="1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6" fontId="5" fillId="0" borderId="0"/>
    <xf numFmtId="172" fontId="5" fillId="0" borderId="0"/>
    <xf numFmtId="175" fontId="17" fillId="0" borderId="0" applyFont="0" applyFill="0" applyBorder="0" applyAlignment="0" applyProtection="0"/>
    <xf numFmtId="0" fontId="11" fillId="0" borderId="0"/>
    <xf numFmtId="9" fontId="17" fillId="0" borderId="0" applyFont="0" applyFill="0" applyBorder="0" applyAlignment="0" applyProtection="0"/>
    <xf numFmtId="166" fontId="5" fillId="0" borderId="0"/>
    <xf numFmtId="0" fontId="11" fillId="0" borderId="0"/>
    <xf numFmtId="176" fontId="17" fillId="0" borderId="0" applyFont="0" applyFill="0" applyBorder="0" applyAlignment="0" applyProtection="0"/>
  </cellStyleXfs>
  <cellXfs count="29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6" fontId="4" fillId="0" borderId="0" xfId="1" applyFont="1" applyFill="1" applyBorder="1"/>
    <xf numFmtId="166" fontId="4" fillId="3" borderId="2" xfId="1" applyFont="1" applyFill="1" applyBorder="1"/>
    <xf numFmtId="166" fontId="4" fillId="3" borderId="4" xfId="1" applyFont="1" applyFill="1" applyBorder="1"/>
    <xf numFmtId="166" fontId="4" fillId="3" borderId="0" xfId="1" applyFont="1" applyFill="1" applyBorder="1"/>
    <xf numFmtId="166" fontId="4" fillId="0" borderId="0" xfId="1" applyFont="1"/>
    <xf numFmtId="166" fontId="4" fillId="0" borderId="0" xfId="1" applyFont="1" applyBorder="1"/>
    <xf numFmtId="0" fontId="0" fillId="3" borderId="0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166" fontId="6" fillId="3" borderId="4" xfId="1" applyFont="1" applyFill="1" applyBorder="1"/>
    <xf numFmtId="0" fontId="0" fillId="3" borderId="5" xfId="0" applyFill="1" applyBorder="1" applyAlignment="1">
      <alignment vertical="top"/>
    </xf>
    <xf numFmtId="0" fontId="0" fillId="3" borderId="5" xfId="0" applyFill="1" applyBorder="1" applyAlignment="1">
      <alignment vertical="top" wrapText="1"/>
    </xf>
    <xf numFmtId="0" fontId="0" fillId="3" borderId="6" xfId="0" applyFill="1" applyBorder="1" applyAlignment="1">
      <alignment vertical="top"/>
    </xf>
    <xf numFmtId="0" fontId="0" fillId="3" borderId="7" xfId="0" applyFill="1" applyBorder="1" applyAlignment="1">
      <alignment vertical="top"/>
    </xf>
    <xf numFmtId="166" fontId="2" fillId="3" borderId="4" xfId="1" applyFont="1" applyFill="1" applyBorder="1"/>
    <xf numFmtId="166" fontId="2" fillId="3" borderId="0" xfId="1" applyFont="1" applyFill="1" applyBorder="1"/>
    <xf numFmtId="0" fontId="2" fillId="3" borderId="0" xfId="0" applyFont="1" applyFill="1" applyBorder="1" applyAlignment="1">
      <alignment vertical="top"/>
    </xf>
    <xf numFmtId="0" fontId="2" fillId="3" borderId="5" xfId="0" applyFont="1" applyFill="1" applyBorder="1" applyAlignment="1">
      <alignment vertical="top"/>
    </xf>
    <xf numFmtId="166" fontId="2" fillId="3" borderId="5" xfId="1" applyFont="1" applyFill="1" applyBorder="1"/>
    <xf numFmtId="166" fontId="2" fillId="3" borderId="4" xfId="1" quotePrefix="1" applyFont="1" applyFill="1" applyBorder="1"/>
    <xf numFmtId="166" fontId="2" fillId="4" borderId="4" xfId="1" applyFont="1" applyFill="1" applyBorder="1"/>
    <xf numFmtId="166" fontId="2" fillId="4" borderId="0" xfId="1" applyFont="1" applyFill="1" applyBorder="1"/>
    <xf numFmtId="166" fontId="3" fillId="4" borderId="0" xfId="1" applyFont="1" applyFill="1" applyBorder="1"/>
    <xf numFmtId="2" fontId="2" fillId="4" borderId="0" xfId="1" applyNumberFormat="1" applyFont="1" applyFill="1" applyBorder="1"/>
    <xf numFmtId="0" fontId="2" fillId="5" borderId="4" xfId="0" applyFont="1" applyFill="1" applyBorder="1" applyAlignment="1">
      <alignment vertical="top"/>
    </xf>
    <xf numFmtId="166" fontId="2" fillId="5" borderId="0" xfId="1" applyFont="1" applyFill="1" applyBorder="1"/>
    <xf numFmtId="166" fontId="2" fillId="5" borderId="4" xfId="1" applyFont="1" applyFill="1" applyBorder="1"/>
    <xf numFmtId="166" fontId="3" fillId="5" borderId="0" xfId="1" applyFont="1" applyFill="1" applyBorder="1"/>
    <xf numFmtId="0" fontId="2" fillId="5" borderId="0" xfId="0" applyFont="1" applyFill="1" applyBorder="1" applyAlignment="1">
      <alignment vertical="top"/>
    </xf>
    <xf numFmtId="166" fontId="3" fillId="3" borderId="1" xfId="1" applyFont="1" applyFill="1" applyBorder="1"/>
    <xf numFmtId="0" fontId="0" fillId="0" borderId="0" xfId="0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0" fillId="0" borderId="0" xfId="0" applyBorder="1" applyAlignment="1">
      <alignment vertical="top"/>
    </xf>
    <xf numFmtId="166" fontId="2" fillId="0" borderId="0" xfId="1" applyFont="1" applyFill="1" applyBorder="1"/>
    <xf numFmtId="166" fontId="2" fillId="3" borderId="1" xfId="1" applyFont="1" applyFill="1" applyBorder="1"/>
    <xf numFmtId="166" fontId="2" fillId="3" borderId="2" xfId="1" applyFont="1" applyFill="1" applyBorder="1"/>
    <xf numFmtId="166" fontId="2" fillId="3" borderId="3" xfId="1" applyFont="1" applyFill="1" applyBorder="1"/>
    <xf numFmtId="166" fontId="2" fillId="4" borderId="5" xfId="1" applyFont="1" applyFill="1" applyBorder="1"/>
    <xf numFmtId="0" fontId="2" fillId="4" borderId="5" xfId="0" applyFont="1" applyFill="1" applyBorder="1" applyAlignment="1">
      <alignment vertical="top"/>
    </xf>
    <xf numFmtId="166" fontId="2" fillId="5" borderId="5" xfId="1" applyFont="1" applyFill="1" applyBorder="1"/>
    <xf numFmtId="0" fontId="2" fillId="5" borderId="5" xfId="0" applyFont="1" applyFill="1" applyBorder="1" applyAlignment="1">
      <alignment vertical="top"/>
    </xf>
    <xf numFmtId="166" fontId="2" fillId="5" borderId="6" xfId="1" applyFont="1" applyFill="1" applyBorder="1"/>
    <xf numFmtId="166" fontId="2" fillId="5" borderId="7" xfId="1" applyFont="1" applyFill="1" applyBorder="1"/>
    <xf numFmtId="166" fontId="2" fillId="5" borderId="8" xfId="1" applyFont="1" applyFill="1" applyBorder="1"/>
    <xf numFmtId="1" fontId="1" fillId="3" borderId="3" xfId="1" applyNumberFormat="1" applyFont="1" applyFill="1" applyBorder="1"/>
    <xf numFmtId="2" fontId="2" fillId="3" borderId="5" xfId="1" applyNumberFormat="1" applyFont="1" applyFill="1" applyBorder="1"/>
    <xf numFmtId="164" fontId="2" fillId="3" borderId="5" xfId="1" applyNumberFormat="1" applyFont="1" applyFill="1" applyBorder="1"/>
    <xf numFmtId="166" fontId="2" fillId="3" borderId="6" xfId="1" applyFont="1" applyFill="1" applyBorder="1"/>
    <xf numFmtId="166" fontId="2" fillId="3" borderId="7" xfId="1" applyFont="1" applyFill="1" applyBorder="1"/>
    <xf numFmtId="2" fontId="2" fillId="3" borderId="8" xfId="1" applyNumberFormat="1" applyFont="1" applyFill="1" applyBorder="1"/>
    <xf numFmtId="0" fontId="0" fillId="4" borderId="0" xfId="0" applyFill="1" applyBorder="1" applyAlignment="1">
      <alignment vertical="top"/>
    </xf>
    <xf numFmtId="0" fontId="0" fillId="5" borderId="0" xfId="0" applyFill="1" applyBorder="1" applyAlignment="1">
      <alignment vertical="top"/>
    </xf>
    <xf numFmtId="0" fontId="0" fillId="5" borderId="7" xfId="0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3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9" fillId="0" borderId="0" xfId="0" applyFont="1" applyAlignment="1">
      <alignment vertical="top"/>
    </xf>
    <xf numFmtId="166" fontId="10" fillId="0" borderId="0" xfId="1" applyFont="1"/>
    <xf numFmtId="166" fontId="5" fillId="0" borderId="0" xfId="1"/>
    <xf numFmtId="166" fontId="4" fillId="0" borderId="0" xfId="1" applyFont="1" applyBorder="1" applyAlignment="1">
      <alignment horizontal="center" vertical="top" wrapText="1"/>
    </xf>
    <xf numFmtId="166" fontId="5" fillId="0" borderId="0" xfId="1" applyFill="1" applyBorder="1"/>
    <xf numFmtId="166" fontId="4" fillId="3" borderId="3" xfId="1" applyFont="1" applyFill="1" applyBorder="1"/>
    <xf numFmtId="166" fontId="4" fillId="3" borderId="5" xfId="1" applyFont="1" applyFill="1" applyBorder="1"/>
    <xf numFmtId="166" fontId="4" fillId="3" borderId="7" xfId="1" applyFont="1" applyFill="1" applyBorder="1"/>
    <xf numFmtId="166" fontId="4" fillId="3" borderId="8" xfId="1" applyFont="1" applyFill="1" applyBorder="1"/>
    <xf numFmtId="166" fontId="4" fillId="3" borderId="6" xfId="1" applyFont="1" applyFill="1" applyBorder="1"/>
    <xf numFmtId="166" fontId="6" fillId="0" borderId="0" xfId="1" applyFont="1" applyFill="1" applyBorder="1"/>
    <xf numFmtId="166" fontId="13" fillId="0" borderId="0" xfId="1" applyFont="1"/>
    <xf numFmtId="168" fontId="4" fillId="0" borderId="0" xfId="1" applyNumberFormat="1" applyFont="1" applyBorder="1"/>
    <xf numFmtId="166" fontId="13" fillId="0" borderId="0" xfId="1" applyFont="1" applyFill="1" applyBorder="1"/>
    <xf numFmtId="2" fontId="1" fillId="0" borderId="0" xfId="1" applyNumberFormat="1" applyFont="1" applyFill="1" applyBorder="1"/>
    <xf numFmtId="166" fontId="13" fillId="0" borderId="0" xfId="1" quotePrefix="1" applyFont="1" applyFill="1" applyBorder="1"/>
    <xf numFmtId="168" fontId="4" fillId="0" borderId="0" xfId="1" applyNumberFormat="1" applyFont="1" applyBorder="1" applyAlignment="1">
      <alignment horizontal="left"/>
    </xf>
    <xf numFmtId="168" fontId="4" fillId="0" borderId="0" xfId="1" applyNumberFormat="1" applyFont="1" applyBorder="1" applyAlignment="1">
      <alignment horizontal="center"/>
    </xf>
    <xf numFmtId="1" fontId="4" fillId="0" borderId="0" xfId="1" applyNumberFormat="1" applyFont="1" applyFill="1" applyBorder="1"/>
    <xf numFmtId="169" fontId="4" fillId="0" borderId="0" xfId="1" applyNumberFormat="1" applyFont="1" applyBorder="1"/>
    <xf numFmtId="166" fontId="4" fillId="0" borderId="0" xfId="1" applyFont="1" applyFill="1" applyBorder="1" applyAlignment="1">
      <alignment horizontal="right"/>
    </xf>
    <xf numFmtId="1" fontId="1" fillId="0" borderId="0" xfId="1" applyNumberFormat="1" applyFont="1" applyFill="1" applyBorder="1"/>
    <xf numFmtId="166" fontId="4" fillId="3" borderId="1" xfId="1" applyFont="1" applyFill="1" applyBorder="1" applyAlignment="1">
      <alignment horizontal="center"/>
    </xf>
    <xf numFmtId="166" fontId="4" fillId="3" borderId="2" xfId="1" applyFont="1" applyFill="1" applyBorder="1" applyAlignment="1">
      <alignment horizontal="center"/>
    </xf>
    <xf numFmtId="166" fontId="4" fillId="3" borderId="2" xfId="1" applyFont="1" applyFill="1" applyBorder="1" applyAlignment="1">
      <alignment horizontal="left"/>
    </xf>
    <xf numFmtId="166" fontId="4" fillId="3" borderId="6" xfId="1" applyFont="1" applyFill="1" applyBorder="1" applyAlignment="1">
      <alignment horizontal="center"/>
    </xf>
    <xf numFmtId="166" fontId="4" fillId="3" borderId="7" xfId="1" applyFont="1" applyFill="1" applyBorder="1" applyAlignment="1">
      <alignment horizontal="center"/>
    </xf>
    <xf numFmtId="166" fontId="4" fillId="3" borderId="0" xfId="1" applyFont="1" applyFill="1" applyBorder="1" applyAlignment="1">
      <alignment horizontal="left"/>
    </xf>
    <xf numFmtId="166" fontId="4" fillId="3" borderId="4" xfId="1" applyFont="1" applyFill="1" applyBorder="1" applyAlignment="1">
      <alignment horizontal="center"/>
    </xf>
    <xf numFmtId="166" fontId="4" fillId="3" borderId="0" xfId="1" applyFont="1" applyFill="1" applyBorder="1" applyAlignment="1">
      <alignment horizontal="center"/>
    </xf>
    <xf numFmtId="1" fontId="4" fillId="3" borderId="4" xfId="1" applyNumberFormat="1" applyFont="1" applyFill="1" applyBorder="1" applyAlignment="1">
      <alignment horizontal="center"/>
    </xf>
    <xf numFmtId="1" fontId="4" fillId="3" borderId="0" xfId="1" applyNumberFormat="1" applyFont="1" applyFill="1" applyBorder="1" applyAlignment="1">
      <alignment horizontal="center"/>
    </xf>
    <xf numFmtId="0" fontId="4" fillId="0" borderId="0" xfId="1" applyNumberFormat="1" applyFont="1" applyFill="1" applyBorder="1"/>
    <xf numFmtId="166" fontId="6" fillId="0" borderId="0" xfId="1" applyFont="1" applyFill="1" applyBorder="1" applyAlignment="1">
      <alignment horizontal="center"/>
    </xf>
    <xf numFmtId="166" fontId="4" fillId="0" borderId="0" xfId="1" quotePrefix="1" applyFont="1" applyFill="1" applyBorder="1"/>
    <xf numFmtId="2" fontId="4" fillId="0" borderId="0" xfId="1" applyNumberFormat="1" applyFont="1" applyFill="1" applyBorder="1"/>
    <xf numFmtId="166" fontId="5" fillId="0" borderId="0" xfId="1" applyFont="1" applyFill="1" applyBorder="1"/>
    <xf numFmtId="166" fontId="5" fillId="0" borderId="0" xfId="1" applyFont="1"/>
    <xf numFmtId="0" fontId="9" fillId="0" borderId="0" xfId="1" applyNumberFormat="1" applyFont="1" applyFill="1" applyBorder="1"/>
    <xf numFmtId="9" fontId="4" fillId="0" borderId="0" xfId="1" applyNumberFormat="1" applyFont="1" applyFill="1" applyBorder="1"/>
    <xf numFmtId="165" fontId="4" fillId="0" borderId="0" xfId="1" applyNumberFormat="1" applyFont="1" applyFill="1" applyBorder="1"/>
    <xf numFmtId="164" fontId="4" fillId="0" borderId="0" xfId="1" applyNumberFormat="1" applyFont="1" applyFill="1" applyBorder="1"/>
    <xf numFmtId="2" fontId="2" fillId="0" borderId="0" xfId="1" applyNumberFormat="1" applyFont="1" applyFill="1" applyBorder="1"/>
    <xf numFmtId="166" fontId="0" fillId="0" borderId="0" xfId="1" applyFont="1" applyFill="1" applyBorder="1"/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horizontal="left" vertical="top"/>
    </xf>
    <xf numFmtId="0" fontId="8" fillId="0" borderId="0" xfId="0" applyFont="1" applyFill="1" applyBorder="1"/>
    <xf numFmtId="0" fontId="0" fillId="0" borderId="0" xfId="0" applyFill="1" applyAlignment="1">
      <alignment horizontal="center" vertical="top"/>
    </xf>
    <xf numFmtId="165" fontId="4" fillId="2" borderId="4" xfId="1" applyNumberFormat="1" applyFont="1" applyFill="1" applyBorder="1"/>
    <xf numFmtId="172" fontId="4" fillId="0" borderId="0" xfId="2" applyFont="1" applyFill="1" applyBorder="1"/>
    <xf numFmtId="172" fontId="4" fillId="0" borderId="0" xfId="2" applyNumberFormat="1" applyFont="1" applyFill="1" applyBorder="1" applyAlignment="1" applyProtection="1">
      <alignment horizontal="left"/>
    </xf>
    <xf numFmtId="10" fontId="4" fillId="0" borderId="0" xfId="1" applyNumberFormat="1" applyFont="1" applyFill="1" applyBorder="1"/>
    <xf numFmtId="9" fontId="1" fillId="0" borderId="0" xfId="1" applyNumberFormat="1" applyFont="1" applyFill="1" applyBorder="1"/>
    <xf numFmtId="164" fontId="1" fillId="0" borderId="0" xfId="1" applyNumberFormat="1" applyFont="1" applyFill="1" applyBorder="1"/>
    <xf numFmtId="165" fontId="1" fillId="0" borderId="0" xfId="1" applyNumberFormat="1" applyFont="1" applyFill="1" applyBorder="1"/>
    <xf numFmtId="166" fontId="7" fillId="0" borderId="0" xfId="1" applyFont="1" applyFill="1" applyBorder="1"/>
    <xf numFmtId="1" fontId="1" fillId="0" borderId="0" xfId="2" applyNumberFormat="1" applyFont="1" applyFill="1" applyBorder="1" applyProtection="1"/>
    <xf numFmtId="1" fontId="1" fillId="0" borderId="0" xfId="2" applyNumberFormat="1" applyFont="1" applyFill="1" applyBorder="1"/>
    <xf numFmtId="2" fontId="1" fillId="0" borderId="0" xfId="2" applyNumberFormat="1" applyFont="1" applyFill="1" applyBorder="1" applyProtection="1"/>
    <xf numFmtId="0" fontId="4" fillId="0" borderId="0" xfId="0" applyFont="1" applyAlignment="1">
      <alignment vertical="top"/>
    </xf>
    <xf numFmtId="1" fontId="4" fillId="2" borderId="4" xfId="1" applyNumberFormat="1" applyFont="1" applyFill="1" applyBorder="1"/>
    <xf numFmtId="0" fontId="4" fillId="0" borderId="0" xfId="0" applyFont="1" applyFill="1" applyBorder="1" applyAlignment="1">
      <alignment vertical="top"/>
    </xf>
    <xf numFmtId="2" fontId="4" fillId="2" borderId="4" xfId="1" applyNumberFormat="1" applyFont="1" applyFill="1" applyBorder="1"/>
    <xf numFmtId="1" fontId="4" fillId="2" borderId="1" xfId="1" applyNumberFormat="1" applyFont="1" applyFill="1" applyBorder="1"/>
    <xf numFmtId="1" fontId="4" fillId="2" borderId="4" xfId="2" applyNumberFormat="1" applyFont="1" applyFill="1" applyBorder="1" applyProtection="1"/>
    <xf numFmtId="1" fontId="4" fillId="2" borderId="10" xfId="1" applyNumberFormat="1" applyFont="1" applyFill="1" applyBorder="1"/>
    <xf numFmtId="0" fontId="10" fillId="0" borderId="0" xfId="1" applyNumberFormat="1" applyFont="1" applyFill="1" applyBorder="1"/>
    <xf numFmtId="166" fontId="4" fillId="6" borderId="4" xfId="1" applyFont="1" applyFill="1" applyBorder="1"/>
    <xf numFmtId="166" fontId="4" fillId="6" borderId="0" xfId="1" quotePrefix="1" applyFont="1" applyFill="1" applyBorder="1"/>
    <xf numFmtId="0" fontId="0" fillId="6" borderId="4" xfId="0" applyFill="1" applyBorder="1" applyAlignment="1">
      <alignment vertical="top"/>
    </xf>
    <xf numFmtId="166" fontId="15" fillId="0" borderId="0" xfId="1" quotePrefix="1" applyFont="1" applyFill="1" applyBorder="1"/>
    <xf numFmtId="170" fontId="13" fillId="0" borderId="0" xfId="1" applyNumberFormat="1" applyFont="1" applyFill="1" applyBorder="1"/>
    <xf numFmtId="171" fontId="13" fillId="0" borderId="0" xfId="1" quotePrefix="1" applyNumberFormat="1" applyFont="1" applyFill="1" applyBorder="1" applyAlignment="1">
      <alignment horizontal="left"/>
    </xf>
    <xf numFmtId="171" fontId="13" fillId="0" borderId="0" xfId="1" applyNumberFormat="1" applyFont="1" applyFill="1" applyBorder="1" applyAlignment="1">
      <alignment horizontal="left"/>
    </xf>
    <xf numFmtId="172" fontId="13" fillId="0" borderId="0" xfId="2" applyFont="1" applyFill="1" applyBorder="1"/>
    <xf numFmtId="173" fontId="13" fillId="0" borderId="0" xfId="1" quotePrefix="1" applyNumberFormat="1" applyFont="1" applyFill="1" applyBorder="1" applyAlignment="1">
      <alignment horizontal="left"/>
    </xf>
    <xf numFmtId="173" fontId="13" fillId="0" borderId="0" xfId="1" applyNumberFormat="1" applyFont="1" applyFill="1" applyBorder="1" applyAlignment="1">
      <alignment horizontal="left"/>
    </xf>
    <xf numFmtId="166" fontId="4" fillId="6" borderId="1" xfId="1" applyFont="1" applyFill="1" applyBorder="1"/>
    <xf numFmtId="166" fontId="4" fillId="6" borderId="5" xfId="1" applyFont="1" applyFill="1" applyBorder="1"/>
    <xf numFmtId="166" fontId="4" fillId="6" borderId="5" xfId="1" quotePrefix="1" applyFont="1" applyFill="1" applyBorder="1"/>
    <xf numFmtId="166" fontId="4" fillId="6" borderId="6" xfId="1" applyFont="1" applyFill="1" applyBorder="1"/>
    <xf numFmtId="166" fontId="4" fillId="6" borderId="8" xfId="1" applyFont="1" applyFill="1" applyBorder="1"/>
    <xf numFmtId="164" fontId="4" fillId="6" borderId="4" xfId="1" applyNumberFormat="1" applyFont="1" applyFill="1" applyBorder="1"/>
    <xf numFmtId="165" fontId="4" fillId="6" borderId="4" xfId="1" applyNumberFormat="1" applyFont="1" applyFill="1" applyBorder="1"/>
    <xf numFmtId="2" fontId="4" fillId="6" borderId="4" xfId="1" applyNumberFormat="1" applyFont="1" applyFill="1" applyBorder="1"/>
    <xf numFmtId="2" fontId="4" fillId="6" borderId="6" xfId="1" applyNumberFormat="1" applyFont="1" applyFill="1" applyBorder="1"/>
    <xf numFmtId="164" fontId="4" fillId="6" borderId="10" xfId="1" applyNumberFormat="1" applyFont="1" applyFill="1" applyBorder="1"/>
    <xf numFmtId="165" fontId="4" fillId="2" borderId="10" xfId="1" applyNumberFormat="1" applyFont="1" applyFill="1" applyBorder="1"/>
    <xf numFmtId="165" fontId="4" fillId="6" borderId="10" xfId="1" applyNumberFormat="1" applyFont="1" applyFill="1" applyBorder="1"/>
    <xf numFmtId="2" fontId="4" fillId="6" borderId="10" xfId="1" applyNumberFormat="1" applyFont="1" applyFill="1" applyBorder="1"/>
    <xf numFmtId="2" fontId="4" fillId="2" borderId="10" xfId="1" applyNumberFormat="1" applyFont="1" applyFill="1" applyBorder="1"/>
    <xf numFmtId="2" fontId="4" fillId="6" borderId="11" xfId="1" applyNumberFormat="1" applyFont="1" applyFill="1" applyBorder="1"/>
    <xf numFmtId="166" fontId="4" fillId="6" borderId="2" xfId="1" applyFont="1" applyFill="1" applyBorder="1"/>
    <xf numFmtId="166" fontId="4" fillId="6" borderId="0" xfId="1" applyFont="1" applyFill="1" applyBorder="1"/>
    <xf numFmtId="166" fontId="4" fillId="6" borderId="7" xfId="1" applyFont="1" applyFill="1" applyBorder="1"/>
    <xf numFmtId="172" fontId="4" fillId="6" borderId="4" xfId="2" applyFont="1" applyFill="1" applyBorder="1" applyAlignment="1">
      <alignment horizontal="left"/>
    </xf>
    <xf numFmtId="172" fontId="4" fillId="6" borderId="0" xfId="2" applyFont="1" applyFill="1" applyBorder="1"/>
    <xf numFmtId="172" fontId="4" fillId="6" borderId="4" xfId="2" applyFont="1" applyFill="1" applyBorder="1"/>
    <xf numFmtId="172" fontId="4" fillId="6" borderId="4" xfId="2" applyNumberFormat="1" applyFont="1" applyFill="1" applyBorder="1" applyAlignment="1" applyProtection="1">
      <alignment horizontal="left"/>
    </xf>
    <xf numFmtId="172" fontId="4" fillId="6" borderId="0" xfId="2" applyNumberFormat="1" applyFont="1" applyFill="1" applyBorder="1" applyAlignment="1" applyProtection="1">
      <alignment horizontal="left"/>
    </xf>
    <xf numFmtId="1" fontId="4" fillId="6" borderId="4" xfId="2" applyNumberFormat="1" applyFont="1" applyFill="1" applyBorder="1" applyProtection="1"/>
    <xf numFmtId="1" fontId="4" fillId="6" borderId="4" xfId="2" applyNumberFormat="1" applyFont="1" applyFill="1" applyBorder="1"/>
    <xf numFmtId="2" fontId="4" fillId="6" borderId="4" xfId="2" applyNumberFormat="1" applyFont="1" applyFill="1" applyBorder="1" applyProtection="1"/>
    <xf numFmtId="2" fontId="4" fillId="6" borderId="6" xfId="2" applyNumberFormat="1" applyFont="1" applyFill="1" applyBorder="1" applyProtection="1"/>
    <xf numFmtId="1" fontId="4" fillId="2" borderId="9" xfId="1" applyNumberFormat="1" applyFont="1" applyFill="1" applyBorder="1"/>
    <xf numFmtId="1" fontId="4" fillId="6" borderId="10" xfId="1" applyNumberFormat="1" applyFont="1" applyFill="1" applyBorder="1"/>
    <xf numFmtId="1" fontId="4" fillId="6" borderId="11" xfId="1" applyNumberFormat="1" applyFont="1" applyFill="1" applyBorder="1"/>
    <xf numFmtId="1" fontId="4" fillId="6" borderId="10" xfId="2" applyNumberFormat="1" applyFont="1" applyFill="1" applyBorder="1" applyProtection="1"/>
    <xf numFmtId="1" fontId="4" fillId="6" borderId="10" xfId="2" applyNumberFormat="1" applyFont="1" applyFill="1" applyBorder="1"/>
    <xf numFmtId="2" fontId="4" fillId="6" borderId="10" xfId="2" applyNumberFormat="1" applyFont="1" applyFill="1" applyBorder="1" applyProtection="1"/>
    <xf numFmtId="1" fontId="4" fillId="2" borderId="10" xfId="2" applyNumberFormat="1" applyFont="1" applyFill="1" applyBorder="1" applyProtection="1"/>
    <xf numFmtId="2" fontId="4" fillId="6" borderId="11" xfId="2" applyNumberFormat="1" applyFont="1" applyFill="1" applyBorder="1" applyProtection="1"/>
    <xf numFmtId="1" fontId="4" fillId="6" borderId="9" xfId="1" applyNumberFormat="1" applyFont="1" applyFill="1" applyBorder="1"/>
    <xf numFmtId="177" fontId="4" fillId="6" borderId="10" xfId="1" applyNumberFormat="1" applyFont="1" applyFill="1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center"/>
    </xf>
    <xf numFmtId="0" fontId="9" fillId="0" borderId="0" xfId="0" applyFont="1" applyAlignment="1"/>
    <xf numFmtId="0" fontId="12" fillId="0" borderId="0" xfId="0" applyFont="1" applyAlignment="1"/>
    <xf numFmtId="0" fontId="0" fillId="0" borderId="0" xfId="0" applyAlignment="1">
      <alignment horizontal="right"/>
    </xf>
    <xf numFmtId="0" fontId="4" fillId="6" borderId="1" xfId="0" applyFont="1" applyFill="1" applyBorder="1" applyAlignment="1"/>
    <xf numFmtId="0" fontId="4" fillId="6" borderId="3" xfId="0" quotePrefix="1" applyFont="1" applyFill="1" applyBorder="1" applyAlignment="1"/>
    <xf numFmtId="0" fontId="4" fillId="6" borderId="1" xfId="0" applyFont="1" applyFill="1" applyBorder="1" applyAlignment="1">
      <alignment horizontal="right"/>
    </xf>
    <xf numFmtId="0" fontId="4" fillId="6" borderId="9" xfId="0" applyFont="1" applyFill="1" applyBorder="1" applyAlignment="1">
      <alignment horizontal="right"/>
    </xf>
    <xf numFmtId="0" fontId="4" fillId="0" borderId="0" xfId="0" applyFont="1" applyAlignment="1"/>
    <xf numFmtId="0" fontId="4" fillId="6" borderId="4" xfId="0" applyFont="1" applyFill="1" applyBorder="1" applyAlignment="1"/>
    <xf numFmtId="0" fontId="4" fillId="6" borderId="5" xfId="0" quotePrefix="1" applyFont="1" applyFill="1" applyBorder="1" applyAlignment="1"/>
    <xf numFmtId="0" fontId="4" fillId="6" borderId="4" xfId="0" applyFont="1" applyFill="1" applyBorder="1" applyAlignment="1">
      <alignment horizontal="right"/>
    </xf>
    <xf numFmtId="0" fontId="4" fillId="6" borderId="10" xfId="0" applyFont="1" applyFill="1" applyBorder="1" applyAlignment="1">
      <alignment horizontal="right"/>
    </xf>
    <xf numFmtId="0" fontId="4" fillId="6" borderId="5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4" fillId="2" borderId="10" xfId="0" applyFont="1" applyFill="1" applyBorder="1" applyAlignment="1">
      <alignment horizontal="right"/>
    </xf>
    <xf numFmtId="0" fontId="4" fillId="6" borderId="4" xfId="0" applyFont="1" applyFill="1" applyBorder="1" applyAlignment="1">
      <alignment horizontal="left" wrapText="1"/>
    </xf>
    <xf numFmtId="0" fontId="4" fillId="6" borderId="5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right" wrapText="1"/>
    </xf>
    <xf numFmtId="0" fontId="4" fillId="2" borderId="10" xfId="0" applyFont="1" applyFill="1" applyBorder="1" applyAlignment="1">
      <alignment horizontal="right" wrapText="1"/>
    </xf>
    <xf numFmtId="0" fontId="13" fillId="0" borderId="0" xfId="0" applyFont="1" applyAlignment="1"/>
    <xf numFmtId="0" fontId="4" fillId="6" borderId="6" xfId="0" applyFont="1" applyFill="1" applyBorder="1" applyAlignment="1"/>
    <xf numFmtId="0" fontId="4" fillId="6" borderId="8" xfId="0" applyFont="1" applyFill="1" applyBorder="1" applyAlignment="1"/>
    <xf numFmtId="0" fontId="4" fillId="2" borderId="6" xfId="0" applyFont="1" applyFill="1" applyBorder="1" applyAlignment="1">
      <alignment horizontal="right"/>
    </xf>
    <xf numFmtId="0" fontId="4" fillId="2" borderId="11" xfId="0" applyFont="1" applyFill="1" applyBorder="1" applyAlignment="1">
      <alignment horizontal="right"/>
    </xf>
    <xf numFmtId="0" fontId="10" fillId="0" borderId="0" xfId="0" applyFont="1" applyAlignment="1"/>
    <xf numFmtId="0" fontId="4" fillId="6" borderId="2" xfId="0" quotePrefix="1" applyFont="1" applyFill="1" applyBorder="1" applyAlignment="1"/>
    <xf numFmtId="0" fontId="4" fillId="6" borderId="9" xfId="0" applyFont="1" applyFill="1" applyBorder="1" applyAlignment="1"/>
    <xf numFmtId="0" fontId="4" fillId="6" borderId="0" xfId="0" applyFont="1" applyFill="1" applyBorder="1" applyAlignment="1"/>
    <xf numFmtId="0" fontId="4" fillId="2" borderId="10" xfId="0" applyFont="1" applyFill="1" applyBorder="1" applyAlignment="1"/>
    <xf numFmtId="0" fontId="13" fillId="0" borderId="0" xfId="0" quotePrefix="1" applyFont="1" applyAlignment="1"/>
    <xf numFmtId="166" fontId="4" fillId="6" borderId="4" xfId="1" applyFont="1" applyFill="1" applyBorder="1" applyAlignment="1"/>
    <xf numFmtId="166" fontId="4" fillId="6" borderId="0" xfId="1" quotePrefix="1" applyFont="1" applyFill="1" applyBorder="1" applyAlignment="1"/>
    <xf numFmtId="0" fontId="4" fillId="6" borderId="10" xfId="0" applyFont="1" applyFill="1" applyBorder="1" applyAlignment="1"/>
    <xf numFmtId="165" fontId="4" fillId="6" borderId="10" xfId="0" applyNumberFormat="1" applyFont="1" applyFill="1" applyBorder="1" applyAlignment="1"/>
    <xf numFmtId="0" fontId="4" fillId="6" borderId="0" xfId="0" quotePrefix="1" applyFont="1" applyFill="1" applyBorder="1" applyAlignment="1"/>
    <xf numFmtId="0" fontId="0" fillId="6" borderId="4" xfId="0" applyFill="1" applyBorder="1" applyAlignment="1"/>
    <xf numFmtId="0" fontId="0" fillId="6" borderId="0" xfId="0" applyFill="1" applyBorder="1" applyAlignment="1"/>
    <xf numFmtId="0" fontId="0" fillId="6" borderId="10" xfId="0" applyFill="1" applyBorder="1" applyAlignment="1"/>
    <xf numFmtId="0" fontId="6" fillId="6" borderId="4" xfId="0" applyFont="1" applyFill="1" applyBorder="1" applyAlignment="1"/>
    <xf numFmtId="0" fontId="6" fillId="6" borderId="0" xfId="0" applyFont="1" applyFill="1" applyBorder="1" applyAlignment="1"/>
    <xf numFmtId="0" fontId="6" fillId="2" borderId="10" xfId="0" applyFont="1" applyFill="1" applyBorder="1" applyAlignment="1"/>
    <xf numFmtId="164" fontId="4" fillId="6" borderId="10" xfId="0" applyNumberFormat="1" applyFont="1" applyFill="1" applyBorder="1" applyAlignment="1"/>
    <xf numFmtId="0" fontId="6" fillId="6" borderId="6" xfId="0" applyFont="1" applyFill="1" applyBorder="1" applyAlignment="1"/>
    <xf numFmtId="0" fontId="6" fillId="6" borderId="7" xfId="0" applyFont="1" applyFill="1" applyBorder="1" applyAlignment="1"/>
    <xf numFmtId="2" fontId="6" fillId="6" borderId="11" xfId="0" applyNumberFormat="1" applyFont="1" applyFill="1" applyBorder="1" applyAlignment="1"/>
    <xf numFmtId="0" fontId="6" fillId="0" borderId="0" xfId="0" applyFont="1" applyAlignment="1"/>
    <xf numFmtId="0" fontId="4" fillId="0" borderId="0" xfId="0" applyFont="1" applyFill="1" applyBorder="1" applyAlignment="1"/>
    <xf numFmtId="166" fontId="4" fillId="0" borderId="0" xfId="1" applyFont="1" applyFill="1" applyBorder="1" applyAlignment="1"/>
    <xf numFmtId="0" fontId="4" fillId="6" borderId="2" xfId="0" applyFont="1" applyFill="1" applyBorder="1" applyAlignment="1"/>
    <xf numFmtId="164" fontId="4" fillId="6" borderId="9" xfId="0" applyNumberFormat="1" applyFont="1" applyFill="1" applyBorder="1" applyAlignment="1"/>
    <xf numFmtId="166" fontId="5" fillId="0" borderId="0" xfId="1" applyFill="1" applyBorder="1" applyAlignment="1"/>
    <xf numFmtId="0" fontId="4" fillId="6" borderId="7" xfId="0" applyFont="1" applyFill="1" applyBorder="1" applyAlignment="1"/>
    <xf numFmtId="164" fontId="4" fillId="6" borderId="11" xfId="0" applyNumberFormat="1" applyFont="1" applyFill="1" applyBorder="1" applyAlignment="1"/>
    <xf numFmtId="166" fontId="5" fillId="0" borderId="0" xfId="1" applyFont="1" applyAlignment="1"/>
    <xf numFmtId="166" fontId="10" fillId="0" borderId="0" xfId="1" applyFont="1" applyAlignment="1"/>
    <xf numFmtId="166" fontId="6" fillId="0" borderId="0" xfId="1" applyFont="1" applyAlignment="1"/>
    <xf numFmtId="166" fontId="4" fillId="0" borderId="0" xfId="1" applyFont="1" applyAlignment="1"/>
    <xf numFmtId="166" fontId="13" fillId="0" borderId="0" xfId="1" applyFont="1" applyAlignment="1"/>
    <xf numFmtId="166" fontId="4" fillId="6" borderId="1" xfId="1" applyFont="1" applyFill="1" applyBorder="1" applyAlignment="1"/>
    <xf numFmtId="166" fontId="4" fillId="6" borderId="3" xfId="1" applyFont="1" applyFill="1" applyBorder="1" applyAlignment="1"/>
    <xf numFmtId="2" fontId="4" fillId="6" borderId="1" xfId="1" applyNumberFormat="1" applyFont="1" applyFill="1" applyBorder="1" applyAlignment="1"/>
    <xf numFmtId="2" fontId="4" fillId="6" borderId="9" xfId="1" applyNumberFormat="1" applyFont="1" applyFill="1" applyBorder="1" applyAlignment="1"/>
    <xf numFmtId="166" fontId="13" fillId="0" borderId="0" xfId="1" applyFont="1" applyFill="1" applyBorder="1" applyAlignment="1"/>
    <xf numFmtId="174" fontId="13" fillId="0" borderId="0" xfId="1" applyNumberFormat="1" applyFont="1" applyFill="1" applyBorder="1" applyAlignment="1">
      <alignment horizontal="left"/>
    </xf>
    <xf numFmtId="0" fontId="0" fillId="6" borderId="2" xfId="0" quotePrefix="1" applyFont="1" applyFill="1" applyBorder="1" applyAlignment="1"/>
    <xf numFmtId="0" fontId="0" fillId="6" borderId="4" xfId="0" applyFont="1" applyFill="1" applyBorder="1" applyAlignment="1"/>
    <xf numFmtId="0" fontId="0" fillId="6" borderId="0" xfId="0" applyFont="1" applyFill="1" applyBorder="1" applyAlignment="1"/>
    <xf numFmtId="0" fontId="0" fillId="6" borderId="0" xfId="0" quotePrefix="1" applyFont="1" applyFill="1" applyBorder="1" applyAlignment="1"/>
    <xf numFmtId="0" fontId="0" fillId="6" borderId="7" xfId="0" applyFont="1" applyFill="1" applyBorder="1" applyAlignment="1"/>
    <xf numFmtId="0" fontId="14" fillId="0" borderId="0" xfId="0" applyFont="1" applyAlignment="1"/>
    <xf numFmtId="166" fontId="5" fillId="0" borderId="0" xfId="1" quotePrefix="1" applyFont="1" applyFill="1" applyBorder="1"/>
    <xf numFmtId="1" fontId="4" fillId="6" borderId="3" xfId="1" applyNumberFormat="1" applyFont="1" applyFill="1" applyBorder="1"/>
    <xf numFmtId="1" fontId="4" fillId="2" borderId="5" xfId="1" applyNumberFormat="1" applyFont="1" applyFill="1" applyBorder="1"/>
    <xf numFmtId="177" fontId="4" fillId="6" borderId="5" xfId="1" applyNumberFormat="1" applyFont="1" applyFill="1" applyBorder="1"/>
    <xf numFmtId="164" fontId="4" fillId="6" borderId="5" xfId="1" applyNumberFormat="1" applyFont="1" applyFill="1" applyBorder="1"/>
    <xf numFmtId="1" fontId="4" fillId="6" borderId="5" xfId="1" applyNumberFormat="1" applyFont="1" applyFill="1" applyBorder="1"/>
    <xf numFmtId="165" fontId="4" fillId="2" borderId="5" xfId="1" applyNumberFormat="1" applyFont="1" applyFill="1" applyBorder="1"/>
    <xf numFmtId="1" fontId="4" fillId="6" borderId="8" xfId="1" applyNumberFormat="1" applyFont="1" applyFill="1" applyBorder="1"/>
    <xf numFmtId="2" fontId="0" fillId="0" borderId="4" xfId="0" applyNumberFormat="1" applyBorder="1" applyAlignment="1"/>
    <xf numFmtId="0" fontId="4" fillId="2" borderId="4" xfId="0" applyFont="1" applyFill="1" applyBorder="1" applyAlignment="1"/>
    <xf numFmtId="1" fontId="4" fillId="2" borderId="4" xfId="1" applyNumberFormat="1" applyFont="1" applyFill="1" applyBorder="1" applyAlignment="1"/>
    <xf numFmtId="165" fontId="4" fillId="6" borderId="4" xfId="0" applyNumberFormat="1" applyFont="1" applyFill="1" applyBorder="1" applyAlignment="1"/>
    <xf numFmtId="0" fontId="6" fillId="2" borderId="4" xfId="0" applyFont="1" applyFill="1" applyBorder="1" applyAlignment="1"/>
    <xf numFmtId="164" fontId="4" fillId="6" borderId="4" xfId="0" applyNumberFormat="1" applyFont="1" applyFill="1" applyBorder="1" applyAlignment="1"/>
    <xf numFmtId="2" fontId="6" fillId="6" borderId="6" xfId="0" applyNumberFormat="1" applyFont="1" applyFill="1" applyBorder="1" applyAlignment="1"/>
    <xf numFmtId="1" fontId="4" fillId="6" borderId="10" xfId="0" applyNumberFormat="1" applyFont="1" applyFill="1" applyBorder="1" applyAlignment="1"/>
    <xf numFmtId="0" fontId="4" fillId="0" borderId="10" xfId="0" applyFont="1" applyBorder="1" applyAlignment="1"/>
    <xf numFmtId="2" fontId="0" fillId="0" borderId="10" xfId="0" applyNumberFormat="1" applyBorder="1" applyAlignment="1"/>
    <xf numFmtId="0" fontId="14" fillId="0" borderId="0" xfId="0" applyFont="1" applyAlignment="1">
      <alignment vertical="top"/>
    </xf>
    <xf numFmtId="0" fontId="0" fillId="6" borderId="1" xfId="0" applyFill="1" applyBorder="1" applyAlignment="1"/>
    <xf numFmtId="0" fontId="18" fillId="0" borderId="0" xfId="0" applyFont="1" applyAlignment="1">
      <alignment vertical="top"/>
    </xf>
    <xf numFmtId="0" fontId="0" fillId="6" borderId="0" xfId="0" applyFill="1" applyAlignment="1">
      <alignment vertical="top"/>
    </xf>
    <xf numFmtId="0" fontId="0" fillId="6" borderId="0" xfId="0" applyFill="1" applyBorder="1" applyAlignment="1">
      <alignment vertical="top"/>
    </xf>
    <xf numFmtId="0" fontId="0" fillId="6" borderId="5" xfId="0" applyFont="1" applyFill="1" applyBorder="1" applyAlignment="1"/>
    <xf numFmtId="0" fontId="0" fillId="6" borderId="6" xfId="0" applyFill="1" applyBorder="1" applyAlignment="1"/>
    <xf numFmtId="0" fontId="0" fillId="2" borderId="3" xfId="0" applyFont="1" applyFill="1" applyBorder="1" applyAlignment="1"/>
    <xf numFmtId="0" fontId="0" fillId="2" borderId="5" xfId="0" applyFont="1" applyFill="1" applyBorder="1" applyAlignment="1"/>
    <xf numFmtId="164" fontId="0" fillId="6" borderId="8" xfId="0" applyNumberFormat="1" applyFont="1" applyFill="1" applyBorder="1" applyAlignment="1"/>
    <xf numFmtId="165" fontId="4" fillId="6" borderId="3" xfId="0" applyNumberFormat="1" applyFont="1" applyFill="1" applyBorder="1" applyAlignment="1"/>
    <xf numFmtId="2" fontId="0" fillId="6" borderId="5" xfId="0" applyNumberFormat="1" applyFill="1" applyBorder="1" applyAlignment="1"/>
    <xf numFmtId="164" fontId="0" fillId="6" borderId="5" xfId="0" applyNumberFormat="1" applyFont="1" applyFill="1" applyBorder="1" applyAlignment="1"/>
    <xf numFmtId="0" fontId="12" fillId="6" borderId="0" xfId="0" applyFont="1" applyFill="1" applyBorder="1" applyAlignment="1">
      <alignment vertical="top"/>
    </xf>
    <xf numFmtId="0" fontId="12" fillId="6" borderId="0" xfId="0" applyFont="1" applyFill="1" applyAlignment="1">
      <alignment vertical="top"/>
    </xf>
    <xf numFmtId="0" fontId="0" fillId="6" borderId="1" xfId="0" applyFill="1" applyBorder="1" applyAlignment="1">
      <alignment vertical="top"/>
    </xf>
    <xf numFmtId="0" fontId="0" fillId="6" borderId="3" xfId="0" applyFill="1" applyBorder="1" applyAlignment="1">
      <alignment vertical="top"/>
    </xf>
    <xf numFmtId="0" fontId="0" fillId="6" borderId="5" xfId="0" applyFill="1" applyBorder="1" applyAlignment="1">
      <alignment vertical="top"/>
    </xf>
    <xf numFmtId="0" fontId="0" fillId="6" borderId="2" xfId="0" quotePrefix="1" applyFill="1" applyBorder="1" applyAlignment="1">
      <alignment vertical="top"/>
    </xf>
    <xf numFmtId="0" fontId="0" fillId="6" borderId="0" xfId="0" quotePrefix="1" applyFill="1" applyBorder="1" applyAlignment="1">
      <alignment vertical="top"/>
    </xf>
    <xf numFmtId="0" fontId="0" fillId="6" borderId="0" xfId="0" applyFont="1" applyFill="1" applyBorder="1" applyAlignment="1">
      <alignment horizontal="left" wrapText="1"/>
    </xf>
    <xf numFmtId="0" fontId="0" fillId="0" borderId="0" xfId="0" applyAlignment="1">
      <alignment horizontal="left" vertical="top" wrapText="1"/>
    </xf>
  </cellXfs>
  <cellStyles count="9">
    <cellStyle name="Komma 2" xfId="3"/>
    <cellStyle name="Normal_T1B gegevens" xfId="4"/>
    <cellStyle name="Procent 2" xfId="5"/>
    <cellStyle name="Standaard" xfId="0" builtinId="0"/>
    <cellStyle name="Standaard 2" xfId="1"/>
    <cellStyle name="Standaard 3" xfId="6"/>
    <cellStyle name="Standaard 4" xfId="7"/>
    <cellStyle name="Standaard_CAPBUIG" xfId="2"/>
    <cellStyle name="Valuta 2" xfId="8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nl-NL"/>
  <c:chart>
    <c:plotArea>
      <c:layout>
        <c:manualLayout>
          <c:layoutTarget val="inner"/>
          <c:xMode val="edge"/>
          <c:yMode val="edge"/>
          <c:x val="0.13991339609339826"/>
          <c:y val="6.6014748737809367E-2"/>
          <c:w val="0.81705996951925131"/>
          <c:h val="0.71927058650379372"/>
        </c:manualLayout>
      </c:layout>
      <c:scatterChart>
        <c:scatterStyle val="smoothMarker"/>
        <c:ser>
          <c:idx val="7"/>
          <c:order val="0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'calculation single screw'!$M$32:$M$33</c:f>
              <c:numCache>
                <c:formatCode>0.00_)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'calculation single screw'!$N$32:$N$33</c:f>
              <c:numCache>
                <c:formatCode>0.00_)</c:formatCode>
                <c:ptCount val="2"/>
                <c:pt idx="0">
                  <c:v>0.01</c:v>
                </c:pt>
                <c:pt idx="1">
                  <c:v>0.01</c:v>
                </c:pt>
              </c:numCache>
            </c:numRef>
          </c:yVal>
          <c:smooth val="1"/>
        </c:ser>
        <c:ser>
          <c:idx val="8"/>
          <c:order val="1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'calculation single screw'!$M$32:$M$33</c:f>
              <c:numCache>
                <c:formatCode>0.00_)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'calculation single screw'!$O$32:$O$33</c:f>
              <c:numCache>
                <c:formatCode>0.00_)</c:formatCode>
                <c:ptCount val="2"/>
                <c:pt idx="0">
                  <c:v>0.54600000000000004</c:v>
                </c:pt>
                <c:pt idx="1">
                  <c:v>0.54600000000000004</c:v>
                </c:pt>
              </c:numCache>
            </c:numRef>
          </c:yVal>
          <c:smooth val="1"/>
        </c:ser>
        <c:ser>
          <c:idx val="9"/>
          <c:order val="2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'calculation single screw'!$M$32:$M$33</c:f>
              <c:numCache>
                <c:formatCode>0.00_)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'calculation single screw'!$P$32:$P$33</c:f>
              <c:numCache>
                <c:formatCode>0.00_)</c:formatCode>
                <c:ptCount val="2"/>
                <c:pt idx="0">
                  <c:v>0.13650000000000001</c:v>
                </c:pt>
                <c:pt idx="1">
                  <c:v>0.13650000000000001</c:v>
                </c:pt>
              </c:numCache>
            </c:numRef>
          </c:yVal>
          <c:smooth val="1"/>
        </c:ser>
        <c:ser>
          <c:idx val="10"/>
          <c:order val="3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'calculation single screw'!$M$32:$M$33</c:f>
              <c:numCache>
                <c:formatCode>0.00_)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'calculation single screw'!$Q$32:$Q$33</c:f>
              <c:numCache>
                <c:formatCode>0.00_)</c:formatCode>
                <c:ptCount val="2"/>
                <c:pt idx="0">
                  <c:v>0.40950000000000003</c:v>
                </c:pt>
                <c:pt idx="1">
                  <c:v>0.40950000000000003</c:v>
                </c:pt>
              </c:numCache>
            </c:numRef>
          </c:yVal>
          <c:smooth val="1"/>
        </c:ser>
        <c:ser>
          <c:idx val="11"/>
          <c:order val="4"/>
          <c:spPr>
            <a:ln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'calculation single screw'!$M$32:$M$33</c:f>
              <c:numCache>
                <c:formatCode>0.00_)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'calculation single screw'!$R$32:$R$33</c:f>
              <c:numCache>
                <c:formatCode>0.00_)</c:formatCode>
                <c:ptCount val="2"/>
                <c:pt idx="0">
                  <c:v>0.27300000000000002</c:v>
                </c:pt>
                <c:pt idx="1">
                  <c:v>0.27300000000000002</c:v>
                </c:pt>
              </c:numCache>
            </c:numRef>
          </c:yVal>
          <c:smooth val="1"/>
        </c:ser>
        <c:ser>
          <c:idx val="1"/>
          <c:order val="5"/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'calculation single screw'!$M$46:$AG$46</c:f>
              <c:numCache>
                <c:formatCode>0.00_)</c:formatCode>
                <c:ptCount val="21"/>
                <c:pt idx="0">
                  <c:v>0</c:v>
                </c:pt>
                <c:pt idx="1">
                  <c:v>2.4924048978999096</c:v>
                </c:pt>
                <c:pt idx="2">
                  <c:v>6.9392025774551893</c:v>
                </c:pt>
                <c:pt idx="3">
                  <c:v>12.541360291612486</c:v>
                </c:pt>
                <c:pt idx="4">
                  <c:v>18.983798657686272</c:v>
                </c:pt>
                <c:pt idx="5">
                  <c:v>26.066814597051369</c:v>
                </c:pt>
                <c:pt idx="6">
                  <c:v>31.907304386882263</c:v>
                </c:pt>
                <c:pt idx="7">
                  <c:v>36.843227987649961</c:v>
                </c:pt>
                <c:pt idx="8">
                  <c:v>41.393478949165946</c:v>
                </c:pt>
                <c:pt idx="9">
                  <c:v>45.741570136224844</c:v>
                </c:pt>
                <c:pt idx="10">
                  <c:v>49.999999999999993</c:v>
                </c:pt>
                <c:pt idx="11">
                  <c:v>54.258429863775163</c:v>
                </c:pt>
                <c:pt idx="12">
                  <c:v>58.60652105083404</c:v>
                </c:pt>
                <c:pt idx="13">
                  <c:v>63.156772012350025</c:v>
                </c:pt>
                <c:pt idx="14">
                  <c:v>68.092695613117712</c:v>
                </c:pt>
                <c:pt idx="15">
                  <c:v>73.933185402948581</c:v>
                </c:pt>
                <c:pt idx="16">
                  <c:v>81.016201342313707</c:v>
                </c:pt>
                <c:pt idx="17">
                  <c:v>87.458639708387494</c:v>
                </c:pt>
                <c:pt idx="18">
                  <c:v>93.060797422544766</c:v>
                </c:pt>
                <c:pt idx="19">
                  <c:v>97.507595102100069</c:v>
                </c:pt>
                <c:pt idx="20">
                  <c:v>100</c:v>
                </c:pt>
              </c:numCache>
            </c:numRef>
          </c:xVal>
          <c:yVal>
            <c:numRef>
              <c:f>'calculation single screw'!$M$39:$AG$39</c:f>
              <c:numCache>
                <c:formatCode>0.00_)</c:formatCode>
                <c:ptCount val="21"/>
                <c:pt idx="0">
                  <c:v>0</c:v>
                </c:pt>
                <c:pt idx="1">
                  <c:v>2.7300000000000001E-2</c:v>
                </c:pt>
                <c:pt idx="2">
                  <c:v>5.4600000000000003E-2</c:v>
                </c:pt>
                <c:pt idx="3">
                  <c:v>8.1900000000000001E-2</c:v>
                </c:pt>
                <c:pt idx="4">
                  <c:v>0.10920000000000001</c:v>
                </c:pt>
                <c:pt idx="5">
                  <c:v>0.13650000000000001</c:v>
                </c:pt>
                <c:pt idx="6">
                  <c:v>0.1638</c:v>
                </c:pt>
                <c:pt idx="7">
                  <c:v>0.19109999999999999</c:v>
                </c:pt>
                <c:pt idx="8">
                  <c:v>0.21839999999999998</c:v>
                </c:pt>
                <c:pt idx="9">
                  <c:v>0.24569999999999997</c:v>
                </c:pt>
                <c:pt idx="10">
                  <c:v>0.27299999999999996</c:v>
                </c:pt>
                <c:pt idx="11">
                  <c:v>0.30029999999999996</c:v>
                </c:pt>
                <c:pt idx="12">
                  <c:v>0.32759999999999995</c:v>
                </c:pt>
                <c:pt idx="13">
                  <c:v>0.35489999999999994</c:v>
                </c:pt>
                <c:pt idx="14">
                  <c:v>0.38219999999999993</c:v>
                </c:pt>
                <c:pt idx="15">
                  <c:v>0.40949999999999992</c:v>
                </c:pt>
                <c:pt idx="16">
                  <c:v>0.43679999999999991</c:v>
                </c:pt>
                <c:pt idx="17">
                  <c:v>0.4640999999999999</c:v>
                </c:pt>
                <c:pt idx="18">
                  <c:v>0.49139999999999989</c:v>
                </c:pt>
                <c:pt idx="19">
                  <c:v>0.51869999999999994</c:v>
                </c:pt>
                <c:pt idx="20">
                  <c:v>0.54600000000000004</c:v>
                </c:pt>
              </c:numCache>
            </c:numRef>
          </c:yVal>
          <c:smooth val="1"/>
        </c:ser>
        <c:axId val="157569792"/>
        <c:axId val="157571712"/>
      </c:scatterChart>
      <c:valAx>
        <c:axId val="157569792"/>
        <c:scaling>
          <c:orientation val="minMax"/>
          <c:max val="100"/>
        </c:scaling>
        <c:axPos val="b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nl-NL"/>
                  <a:t>fill level [%]</a:t>
                </a:r>
              </a:p>
            </c:rich>
          </c:tx>
          <c:layout>
            <c:manualLayout>
              <c:xMode val="edge"/>
              <c:yMode val="edge"/>
              <c:x val="0.47032640949555427"/>
              <c:y val="0.90464650353914233"/>
            </c:manualLayout>
          </c:layout>
          <c:spPr>
            <a:noFill/>
            <a:ln w="25400">
              <a:noFill/>
            </a:ln>
          </c:spPr>
        </c:title>
        <c:numFmt formatCode="#,##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57571712"/>
        <c:crosses val="autoZero"/>
        <c:crossBetween val="midCat"/>
        <c:majorUnit val="10"/>
      </c:valAx>
      <c:valAx>
        <c:axId val="15757171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nl-NL"/>
                  <a:t>bed height [m]</a:t>
                </a:r>
              </a:p>
            </c:rich>
          </c:tx>
          <c:layout>
            <c:manualLayout>
              <c:xMode val="edge"/>
              <c:yMode val="edge"/>
              <c:x val="2.3738872403561012E-2"/>
              <c:y val="0.31540367967452027"/>
            </c:manualLayout>
          </c:layout>
          <c:spPr>
            <a:noFill/>
            <a:ln w="25400">
              <a:noFill/>
            </a:ln>
          </c:spPr>
        </c:title>
        <c:numFmt formatCode="0.0" sourceLinked="0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nl-NL"/>
          </a:p>
        </c:txPr>
        <c:crossAx val="157569792"/>
        <c:crosses val="autoZero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nl-NL"/>
    </a:p>
  </c:txPr>
  <c:printSettings>
    <c:headerFooter alignWithMargins="0"/>
    <c:pageMargins b="1" l="0.75000000000000622" r="0.75000000000000622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243841</xdr:colOff>
      <xdr:row>56</xdr:row>
      <xdr:rowOff>24384</xdr:rowOff>
    </xdr:to>
    <xdr:pic>
      <xdr:nvPicPr>
        <xdr:cNvPr id="2" name="Afbeelding 1" descr="datasheet char cooling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7591698" cy="10692384"/>
        </a:xfrm>
        <a:prstGeom prst="rect">
          <a:avLst/>
        </a:prstGeom>
      </xdr:spPr>
    </xdr:pic>
    <xdr:clientData/>
  </xdr:twoCellAnchor>
  <xdr:twoCellAnchor editAs="oneCell">
    <xdr:from>
      <xdr:col>12</xdr:col>
      <xdr:colOff>312965</xdr:colOff>
      <xdr:row>0</xdr:row>
      <xdr:rowOff>0</xdr:rowOff>
    </xdr:from>
    <xdr:to>
      <xdr:col>24</xdr:col>
      <xdr:colOff>524148</xdr:colOff>
      <xdr:row>56</xdr:row>
      <xdr:rowOff>24384</xdr:rowOff>
    </xdr:to>
    <xdr:pic>
      <xdr:nvPicPr>
        <xdr:cNvPr id="3" name="Afbeelding 2" descr="datasheet char cooling2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60822" y="0"/>
          <a:ext cx="7559040" cy="106923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574222</xdr:colOff>
      <xdr:row>14</xdr:row>
      <xdr:rowOff>51707</xdr:rowOff>
    </xdr:from>
    <xdr:to>
      <xdr:col>30</xdr:col>
      <xdr:colOff>136069</xdr:colOff>
      <xdr:row>22</xdr:row>
      <xdr:rowOff>908</xdr:rowOff>
    </xdr:to>
    <xdr:pic>
      <xdr:nvPicPr>
        <xdr:cNvPr id="2" name="Picture 7" descr="q11720img1.gi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662447" y="9338582"/>
          <a:ext cx="2000248" cy="15049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29</xdr:col>
      <xdr:colOff>521153</xdr:colOff>
      <xdr:row>14</xdr:row>
      <xdr:rowOff>137432</xdr:rowOff>
    </xdr:from>
    <xdr:to>
      <xdr:col>32</xdr:col>
      <xdr:colOff>280304</xdr:colOff>
      <xdr:row>21</xdr:row>
      <xdr:rowOff>200933</xdr:rowOff>
    </xdr:to>
    <xdr:pic>
      <xdr:nvPicPr>
        <xdr:cNvPr id="3" name="Picture 8" descr="q11720img2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438178" y="9424307"/>
          <a:ext cx="1587951" cy="1381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</xdr:col>
      <xdr:colOff>85726</xdr:colOff>
      <xdr:row>12</xdr:row>
      <xdr:rowOff>158750</xdr:rowOff>
    </xdr:from>
    <xdr:to>
      <xdr:col>22</xdr:col>
      <xdr:colOff>180975</xdr:colOff>
      <xdr:row>34</xdr:row>
      <xdr:rowOff>174625</xdr:rowOff>
    </xdr:to>
    <xdr:graphicFrame macro="">
      <xdr:nvGraphicFramePr>
        <xdr:cNvPr id="8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285753</xdr:colOff>
      <xdr:row>61</xdr:row>
      <xdr:rowOff>38099</xdr:rowOff>
    </xdr:from>
    <xdr:to>
      <xdr:col>19</xdr:col>
      <xdr:colOff>63501</xdr:colOff>
      <xdr:row>66</xdr:row>
      <xdr:rowOff>142874</xdr:rowOff>
    </xdr:to>
    <xdr:grpSp>
      <xdr:nvGrpSpPr>
        <xdr:cNvPr id="32" name="Groep 31"/>
        <xdr:cNvGrpSpPr/>
      </xdr:nvGrpSpPr>
      <xdr:grpSpPr>
        <a:xfrm>
          <a:off x="18875378" y="11801474"/>
          <a:ext cx="4000498" cy="1057275"/>
          <a:chOff x="6939646" y="2950028"/>
          <a:chExt cx="4708070" cy="921203"/>
        </a:xfrm>
      </xdr:grpSpPr>
      <xdr:sp macro="" textlink="">
        <xdr:nvSpPr>
          <xdr:cNvPr id="33" name="AutoShape 1"/>
          <xdr:cNvSpPr>
            <a:spLocks noChangeArrowheads="1"/>
          </xdr:cNvSpPr>
        </xdr:nvSpPr>
        <xdr:spPr bwMode="auto">
          <a:xfrm rot="16200000">
            <a:off x="8833079" y="1056595"/>
            <a:ext cx="921203" cy="4708070"/>
          </a:xfrm>
          <a:prstGeom prst="can">
            <a:avLst>
              <a:gd name="adj" fmla="val 89612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5" name="AutoShape 2"/>
          <xdr:cNvSpPr>
            <a:spLocks noChangeAspect="1" noChangeArrowheads="1"/>
          </xdr:cNvSpPr>
        </xdr:nvSpPr>
        <xdr:spPr bwMode="auto">
          <a:xfrm rot="16200000">
            <a:off x="9095634" y="1360097"/>
            <a:ext cx="341664" cy="4136568"/>
          </a:xfrm>
          <a:prstGeom prst="can">
            <a:avLst>
              <a:gd name="adj" fmla="val 83681"/>
            </a:avLst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12</xdr:col>
      <xdr:colOff>185058</xdr:colOff>
      <xdr:row>61</xdr:row>
      <xdr:rowOff>19050</xdr:rowOff>
    </xdr:from>
    <xdr:to>
      <xdr:col>12</xdr:col>
      <xdr:colOff>185058</xdr:colOff>
      <xdr:row>66</xdr:row>
      <xdr:rowOff>152400</xdr:rowOff>
    </xdr:to>
    <xdr:sp macro="" textlink="">
      <xdr:nvSpPr>
        <xdr:cNvPr id="36" name="Line 3"/>
        <xdr:cNvSpPr>
          <a:spLocks noChangeShapeType="1"/>
        </xdr:cNvSpPr>
      </xdr:nvSpPr>
      <xdr:spPr bwMode="auto">
        <a:xfrm>
          <a:off x="11681733" y="6257925"/>
          <a:ext cx="0" cy="108585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12</xdr:col>
      <xdr:colOff>635454</xdr:colOff>
      <xdr:row>67</xdr:row>
      <xdr:rowOff>118382</xdr:rowOff>
    </xdr:from>
    <xdr:to>
      <xdr:col>18</xdr:col>
      <xdr:colOff>449036</xdr:colOff>
      <xdr:row>67</xdr:row>
      <xdr:rowOff>122464</xdr:rowOff>
    </xdr:to>
    <xdr:sp macro="" textlink="">
      <xdr:nvSpPr>
        <xdr:cNvPr id="37" name="Line 4"/>
        <xdr:cNvSpPr>
          <a:spLocks noChangeShapeType="1"/>
        </xdr:cNvSpPr>
      </xdr:nvSpPr>
      <xdr:spPr bwMode="auto">
        <a:xfrm>
          <a:off x="12103554" y="7500257"/>
          <a:ext cx="3614057" cy="4082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19</xdr:col>
      <xdr:colOff>133350</xdr:colOff>
      <xdr:row>63</xdr:row>
      <xdr:rowOff>65315</xdr:rowOff>
    </xdr:from>
    <xdr:to>
      <xdr:col>19</xdr:col>
      <xdr:colOff>133350</xdr:colOff>
      <xdr:row>65</xdr:row>
      <xdr:rowOff>65316</xdr:rowOff>
    </xdr:to>
    <xdr:sp macro="" textlink="">
      <xdr:nvSpPr>
        <xdr:cNvPr id="38" name="Line 5"/>
        <xdr:cNvSpPr>
          <a:spLocks noChangeShapeType="1"/>
        </xdr:cNvSpPr>
      </xdr:nvSpPr>
      <xdr:spPr bwMode="auto">
        <a:xfrm>
          <a:off x="16011525" y="6685190"/>
          <a:ext cx="0" cy="381001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12</xdr:col>
      <xdr:colOff>299357</xdr:colOff>
      <xdr:row>73</xdr:row>
      <xdr:rowOff>27214</xdr:rowOff>
    </xdr:from>
    <xdr:to>
      <xdr:col>18</xdr:col>
      <xdr:colOff>503464</xdr:colOff>
      <xdr:row>86</xdr:row>
      <xdr:rowOff>122464</xdr:rowOff>
    </xdr:to>
    <xdr:grpSp>
      <xdr:nvGrpSpPr>
        <xdr:cNvPr id="40" name="Groep 39"/>
        <xdr:cNvGrpSpPr/>
      </xdr:nvGrpSpPr>
      <xdr:grpSpPr>
        <a:xfrm>
          <a:off x="18888982" y="14124214"/>
          <a:ext cx="3823607" cy="2571750"/>
          <a:chOff x="6708322" y="4708071"/>
          <a:chExt cx="4082144" cy="2217965"/>
        </a:xfrm>
      </xdr:grpSpPr>
      <xdr:sp macro="" textlink="">
        <xdr:nvSpPr>
          <xdr:cNvPr id="41" name="Rechthoek 40"/>
          <xdr:cNvSpPr/>
        </xdr:nvSpPr>
        <xdr:spPr bwMode="auto">
          <a:xfrm>
            <a:off x="6708324" y="5361214"/>
            <a:ext cx="4082142" cy="911678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nl-NL" sz="1100"/>
          </a:p>
        </xdr:txBody>
      </xdr:sp>
      <xdr:sp macro="" textlink="">
        <xdr:nvSpPr>
          <xdr:cNvPr id="45" name="Rechthoek 44"/>
          <xdr:cNvSpPr/>
        </xdr:nvSpPr>
        <xdr:spPr bwMode="auto">
          <a:xfrm>
            <a:off x="6708322" y="4708071"/>
            <a:ext cx="435428" cy="65314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nl-NL" sz="1100"/>
          </a:p>
        </xdr:txBody>
      </xdr:sp>
      <xdr:sp macro="" textlink="">
        <xdr:nvSpPr>
          <xdr:cNvPr id="48" name="Rechthoek 47"/>
          <xdr:cNvSpPr/>
        </xdr:nvSpPr>
        <xdr:spPr bwMode="auto">
          <a:xfrm>
            <a:off x="10355035" y="6272893"/>
            <a:ext cx="435428" cy="653143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nl-NL" sz="1100"/>
          </a:p>
        </xdr:txBody>
      </xdr:sp>
      <xdr:sp macro="" textlink="">
        <xdr:nvSpPr>
          <xdr:cNvPr id="53" name="Afgeschuind enkele hoek rechthoek 52"/>
          <xdr:cNvSpPr/>
        </xdr:nvSpPr>
        <xdr:spPr bwMode="auto">
          <a:xfrm>
            <a:off x="6721928" y="5442857"/>
            <a:ext cx="3633107" cy="830036"/>
          </a:xfrm>
          <a:prstGeom prst="snip1Rect">
            <a:avLst>
              <a:gd name="adj" fmla="val 36567"/>
            </a:avLst>
          </a:prstGeom>
          <a:solidFill>
            <a:schemeClr val="bg1">
              <a:lumMod val="85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nl-NL" sz="1100"/>
          </a:p>
        </xdr:txBody>
      </xdr:sp>
      <xdr:sp macro="" textlink="">
        <xdr:nvSpPr>
          <xdr:cNvPr id="54" name="Rechthoek 53"/>
          <xdr:cNvSpPr/>
        </xdr:nvSpPr>
        <xdr:spPr bwMode="auto">
          <a:xfrm>
            <a:off x="6708323" y="5633357"/>
            <a:ext cx="4082142" cy="353786"/>
          </a:xfrm>
          <a:prstGeom prst="rect">
            <a:avLst/>
          </a:prstGeom>
          <a:solidFill>
            <a:srgbClr val="FFFFFF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nl-NL" sz="1100"/>
          </a:p>
        </xdr:txBody>
      </xdr:sp>
      <xdr:sp macro="" textlink="">
        <xdr:nvSpPr>
          <xdr:cNvPr id="55" name="Rechthoek 54"/>
          <xdr:cNvSpPr/>
        </xdr:nvSpPr>
        <xdr:spPr bwMode="auto">
          <a:xfrm>
            <a:off x="6721928" y="4952999"/>
            <a:ext cx="421821" cy="530679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lang="nl-NL" sz="1100"/>
          </a:p>
        </xdr:txBody>
      </xdr:sp>
    </xdr:grpSp>
    <xdr:clientData/>
  </xdr:twoCellAnchor>
  <xdr:twoCellAnchor>
    <xdr:from>
      <xdr:col>12</xdr:col>
      <xdr:colOff>136072</xdr:colOff>
      <xdr:row>77</xdr:row>
      <xdr:rowOff>0</xdr:rowOff>
    </xdr:from>
    <xdr:to>
      <xdr:col>12</xdr:col>
      <xdr:colOff>136072</xdr:colOff>
      <xdr:row>82</xdr:row>
      <xdr:rowOff>133349</xdr:rowOff>
    </xdr:to>
    <xdr:sp macro="" textlink="">
      <xdr:nvSpPr>
        <xdr:cNvPr id="56" name="Line 3"/>
        <xdr:cNvSpPr>
          <a:spLocks noChangeShapeType="1"/>
        </xdr:cNvSpPr>
      </xdr:nvSpPr>
      <xdr:spPr bwMode="auto">
        <a:xfrm>
          <a:off x="11632747" y="9286875"/>
          <a:ext cx="0" cy="1085849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19</xdr:col>
      <xdr:colOff>1</xdr:colOff>
      <xdr:row>77</xdr:row>
      <xdr:rowOff>122463</xdr:rowOff>
    </xdr:from>
    <xdr:to>
      <xdr:col>19</xdr:col>
      <xdr:colOff>1</xdr:colOff>
      <xdr:row>82</xdr:row>
      <xdr:rowOff>133348</xdr:rowOff>
    </xdr:to>
    <xdr:sp macro="" textlink="">
      <xdr:nvSpPr>
        <xdr:cNvPr id="57" name="Line 3"/>
        <xdr:cNvSpPr>
          <a:spLocks noChangeShapeType="1"/>
        </xdr:cNvSpPr>
      </xdr:nvSpPr>
      <xdr:spPr bwMode="auto">
        <a:xfrm>
          <a:off x="15878176" y="9409338"/>
          <a:ext cx="0" cy="96338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12</xdr:col>
      <xdr:colOff>272141</xdr:colOff>
      <xdr:row>72</xdr:row>
      <xdr:rowOff>68035</xdr:rowOff>
    </xdr:from>
    <xdr:to>
      <xdr:col>13</xdr:col>
      <xdr:colOff>95250</xdr:colOff>
      <xdr:row>72</xdr:row>
      <xdr:rowOff>68035</xdr:rowOff>
    </xdr:to>
    <xdr:sp macro="" textlink="">
      <xdr:nvSpPr>
        <xdr:cNvPr id="58" name="Line 3"/>
        <xdr:cNvSpPr>
          <a:spLocks noChangeShapeType="1"/>
        </xdr:cNvSpPr>
      </xdr:nvSpPr>
      <xdr:spPr bwMode="auto">
        <a:xfrm>
          <a:off x="11768816" y="8402410"/>
          <a:ext cx="432709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18</xdr:col>
      <xdr:colOff>27215</xdr:colOff>
      <xdr:row>87</xdr:row>
      <xdr:rowOff>81643</xdr:rowOff>
    </xdr:from>
    <xdr:to>
      <xdr:col>18</xdr:col>
      <xdr:colOff>530681</xdr:colOff>
      <xdr:row>87</xdr:row>
      <xdr:rowOff>81643</xdr:rowOff>
    </xdr:to>
    <xdr:sp macro="" textlink="">
      <xdr:nvSpPr>
        <xdr:cNvPr id="59" name="Line 3"/>
        <xdr:cNvSpPr>
          <a:spLocks noChangeShapeType="1"/>
        </xdr:cNvSpPr>
      </xdr:nvSpPr>
      <xdr:spPr bwMode="auto">
        <a:xfrm>
          <a:off x="15295790" y="11273518"/>
          <a:ext cx="503466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12</xdr:col>
      <xdr:colOff>312964</xdr:colOff>
      <xdr:row>83</xdr:row>
      <xdr:rowOff>122463</xdr:rowOff>
    </xdr:from>
    <xdr:to>
      <xdr:col>18</xdr:col>
      <xdr:colOff>68035</xdr:colOff>
      <xdr:row>83</xdr:row>
      <xdr:rowOff>122464</xdr:rowOff>
    </xdr:to>
    <xdr:sp macro="" textlink="">
      <xdr:nvSpPr>
        <xdr:cNvPr id="60" name="Line 3"/>
        <xdr:cNvSpPr>
          <a:spLocks noChangeShapeType="1"/>
        </xdr:cNvSpPr>
      </xdr:nvSpPr>
      <xdr:spPr bwMode="auto">
        <a:xfrm>
          <a:off x="19471821" y="16151677"/>
          <a:ext cx="3429000" cy="1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triangle" w="med" len="med"/>
        </a:ln>
      </xdr:spPr>
    </xdr:sp>
    <xdr:clientData/>
  </xdr:twoCellAnchor>
  <xdr:twoCellAnchor>
    <xdr:from>
      <xdr:col>17</xdr:col>
      <xdr:colOff>312963</xdr:colOff>
      <xdr:row>77</xdr:row>
      <xdr:rowOff>122464</xdr:rowOff>
    </xdr:from>
    <xdr:to>
      <xdr:col>19</xdr:col>
      <xdr:colOff>95250</xdr:colOff>
      <xdr:row>77</xdr:row>
      <xdr:rowOff>122464</xdr:rowOff>
    </xdr:to>
    <xdr:cxnSp macro="">
      <xdr:nvCxnSpPr>
        <xdr:cNvPr id="76" name="Rechte verbindingslijn 75"/>
        <xdr:cNvCxnSpPr/>
      </xdr:nvCxnSpPr>
      <xdr:spPr>
        <a:xfrm>
          <a:off x="14971938" y="9409339"/>
          <a:ext cx="1001487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163286</xdr:colOff>
      <xdr:row>90</xdr:row>
      <xdr:rowOff>13607</xdr:rowOff>
    </xdr:from>
    <xdr:to>
      <xdr:col>17</xdr:col>
      <xdr:colOff>81643</xdr:colOff>
      <xdr:row>102</xdr:row>
      <xdr:rowOff>40822</xdr:rowOff>
    </xdr:to>
    <xdr:grpSp>
      <xdr:nvGrpSpPr>
        <xdr:cNvPr id="105" name="Groep 104"/>
        <xdr:cNvGrpSpPr/>
      </xdr:nvGrpSpPr>
      <xdr:grpSpPr>
        <a:xfrm>
          <a:off x="19356161" y="17396732"/>
          <a:ext cx="2331357" cy="2376715"/>
          <a:chOff x="19934465" y="17430750"/>
          <a:chExt cx="2149928" cy="2381251"/>
        </a:xfrm>
      </xdr:grpSpPr>
      <xdr:sp macro="" textlink="">
        <xdr:nvSpPr>
          <xdr:cNvPr id="64" name="Ovaal 63"/>
          <xdr:cNvSpPr>
            <a:spLocks noChangeAspect="1"/>
          </xdr:cNvSpPr>
        </xdr:nvSpPr>
        <xdr:spPr>
          <a:xfrm>
            <a:off x="20084143" y="17662070"/>
            <a:ext cx="1973035" cy="2149929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nl-NL" sz="1100"/>
          </a:p>
        </xdr:txBody>
      </xdr:sp>
      <xdr:sp macro="" textlink="">
        <xdr:nvSpPr>
          <xdr:cNvPr id="65" name="Ovaal 64"/>
          <xdr:cNvSpPr>
            <a:spLocks noChangeAspect="1"/>
          </xdr:cNvSpPr>
        </xdr:nvSpPr>
        <xdr:spPr>
          <a:xfrm>
            <a:off x="20274646" y="17757324"/>
            <a:ext cx="1578426" cy="175532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nl-NL" sz="1100"/>
          </a:p>
        </xdr:txBody>
      </xdr:sp>
      <xdr:cxnSp macro="">
        <xdr:nvCxnSpPr>
          <xdr:cNvPr id="66" name="Rechte verbindingslijn met pijl 65"/>
          <xdr:cNvCxnSpPr/>
        </xdr:nvCxnSpPr>
        <xdr:spPr>
          <a:xfrm>
            <a:off x="19934465" y="19526250"/>
            <a:ext cx="0" cy="272143"/>
          </a:xfrm>
          <a:prstGeom prst="straightConnector1">
            <a:avLst/>
          </a:prstGeom>
          <a:ln>
            <a:solidFill>
              <a:schemeClr val="tx1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7" name="Rechte verbindingslijn 66"/>
          <xdr:cNvCxnSpPr>
            <a:stCxn id="64" idx="0"/>
          </xdr:cNvCxnSpPr>
        </xdr:nvCxnSpPr>
        <xdr:spPr>
          <a:xfrm flipH="1">
            <a:off x="19961679" y="17662070"/>
            <a:ext cx="1054553" cy="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8" name="Rechte verbindingslijn 67"/>
          <xdr:cNvCxnSpPr/>
        </xdr:nvCxnSpPr>
        <xdr:spPr>
          <a:xfrm flipH="1">
            <a:off x="19961679" y="17757321"/>
            <a:ext cx="1054553" cy="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9" name="Rechte verbindingslijn 68"/>
          <xdr:cNvCxnSpPr/>
        </xdr:nvCxnSpPr>
        <xdr:spPr>
          <a:xfrm flipH="1">
            <a:off x="19948072" y="19512643"/>
            <a:ext cx="1054553" cy="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0" name="Rechte verbindingslijn 69"/>
          <xdr:cNvCxnSpPr/>
        </xdr:nvCxnSpPr>
        <xdr:spPr>
          <a:xfrm flipH="1">
            <a:off x="19948073" y="19812000"/>
            <a:ext cx="1054553" cy="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1" name="Rechte verbindingslijn 70"/>
          <xdr:cNvCxnSpPr>
            <a:stCxn id="65" idx="6"/>
          </xdr:cNvCxnSpPr>
        </xdr:nvCxnSpPr>
        <xdr:spPr>
          <a:xfrm flipH="1">
            <a:off x="21853071" y="18614573"/>
            <a:ext cx="1" cy="1074963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Rechte verbindingslijn 71"/>
          <xdr:cNvCxnSpPr/>
        </xdr:nvCxnSpPr>
        <xdr:spPr>
          <a:xfrm flipH="1">
            <a:off x="22057178" y="18614571"/>
            <a:ext cx="3" cy="107496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Rechte verbindingslijn met pijl 72"/>
          <xdr:cNvCxnSpPr/>
        </xdr:nvCxnSpPr>
        <xdr:spPr>
          <a:xfrm flipH="1">
            <a:off x="21853071" y="19716750"/>
            <a:ext cx="231322" cy="1"/>
          </a:xfrm>
          <a:prstGeom prst="straightConnector1">
            <a:avLst/>
          </a:prstGeom>
          <a:ln>
            <a:solidFill>
              <a:schemeClr val="tx1"/>
            </a:solidFill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Rechte verbindingslijn met pijl 73"/>
          <xdr:cNvCxnSpPr/>
        </xdr:nvCxnSpPr>
        <xdr:spPr>
          <a:xfrm>
            <a:off x="19975286" y="17430750"/>
            <a:ext cx="2" cy="217715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5" name="Rechte verbindingslijn met pijl 74"/>
          <xdr:cNvCxnSpPr/>
        </xdr:nvCxnSpPr>
        <xdr:spPr>
          <a:xfrm rot="10800000">
            <a:off x="19975286" y="17784536"/>
            <a:ext cx="2" cy="231322"/>
          </a:xfrm>
          <a:prstGeom prst="straightConnector1">
            <a:avLst/>
          </a:prstGeom>
          <a:ln>
            <a:solidFill>
              <a:schemeClr val="tx1"/>
            </a:solidFill>
            <a:headEnd type="non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" name="Ovaal 76"/>
          <xdr:cNvSpPr>
            <a:spLocks noChangeAspect="1"/>
          </xdr:cNvSpPr>
        </xdr:nvSpPr>
        <xdr:spPr>
          <a:xfrm>
            <a:off x="20730482" y="18260786"/>
            <a:ext cx="674912" cy="729343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nl-NL" sz="1100"/>
          </a:p>
        </xdr:txBody>
      </xdr:sp>
    </xdr:grpSp>
    <xdr:clientData/>
  </xdr:twoCellAnchor>
  <xdr:oneCellAnchor>
    <xdr:from>
      <xdr:col>0</xdr:col>
      <xdr:colOff>0</xdr:colOff>
      <xdr:row>1</xdr:row>
      <xdr:rowOff>0</xdr:rowOff>
    </xdr:from>
    <xdr:ext cx="8327344" cy="655885"/>
    <xdr:sp macro="" textlink="">
      <xdr:nvSpPr>
        <xdr:cNvPr id="104" name="Tekstvak 103"/>
        <xdr:cNvSpPr txBox="1"/>
      </xdr:nvSpPr>
      <xdr:spPr>
        <a:xfrm>
          <a:off x="0" y="190500"/>
          <a:ext cx="8327344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nl-NL" sz="3600"/>
            <a:t>Design</a:t>
          </a:r>
          <a:r>
            <a:rPr lang="nl-NL" sz="3600" baseline="0"/>
            <a:t> of single heat transfer screw,</a:t>
          </a:r>
          <a:r>
            <a:rPr lang="nl-NL" sz="3600"/>
            <a:t> DRAFT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mailbox\Algemeen\Verwijstabellen\VTK_tarieven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WK"/>
      <sheetName val="SKF lagers"/>
      <sheetName val="Glijlagers"/>
      <sheetName val="Platenpaketten"/>
      <sheetName val="Eupex kopp"/>
      <sheetName val="Snaar aandr"/>
      <sheetName val="schroef&amp; pijp"/>
      <sheetName val="spiralen"/>
      <sheetName val="uurtarieven"/>
      <sheetName val="Div. koopdelen"/>
      <sheetName val="Coating"/>
      <sheetName val="Materialen"/>
      <sheetName val="VTK_tarieven"/>
      <sheetName val="motorberek"/>
      <sheetName val="calc. transportband"/>
      <sheetName val="tarieven"/>
      <sheetName val="prijs"/>
    </sheetNames>
    <sheetDataSet>
      <sheetData sheetId="0">
        <row r="8">
          <cell r="B8" t="str">
            <v>van</v>
          </cell>
        </row>
      </sheetData>
      <sheetData sheetId="1">
        <row r="4">
          <cell r="C4" t="str">
            <v>SNL 5..</v>
          </cell>
        </row>
      </sheetData>
      <sheetData sheetId="2">
        <row r="4">
          <cell r="F4">
            <v>2003</v>
          </cell>
        </row>
      </sheetData>
      <sheetData sheetId="3">
        <row r="4">
          <cell r="F4">
            <v>2006</v>
          </cell>
        </row>
      </sheetData>
      <sheetData sheetId="4">
        <row r="4">
          <cell r="B4" t="str">
            <v>van</v>
          </cell>
        </row>
      </sheetData>
      <sheetData sheetId="5">
        <row r="4">
          <cell r="B4" t="str">
            <v>diam</v>
          </cell>
        </row>
      </sheetData>
      <sheetData sheetId="6">
        <row r="4">
          <cell r="B4" t="str">
            <v>sch 10</v>
          </cell>
        </row>
      </sheetData>
      <sheetData sheetId="7">
        <row r="5">
          <cell r="E5" t="str">
            <v>outside</v>
          </cell>
        </row>
      </sheetData>
      <sheetData sheetId="8">
        <row r="1">
          <cell r="A1" t="str">
            <v>Uurtarieven 2008</v>
          </cell>
          <cell r="B1" t="str">
            <v>VTK</v>
          </cell>
          <cell r="D1" t="str">
            <v>Snijsnelheid in m/min</v>
          </cell>
          <cell r="F1" t="str">
            <v>(24-09-03 herzien)</v>
          </cell>
        </row>
        <row r="2">
          <cell r="A2" t="str">
            <v>Uren bedrijfsvoorschriften.+CE-certificaat.</v>
          </cell>
          <cell r="B2">
            <v>48</v>
          </cell>
          <cell r="D2" t="str">
            <v>mat.dikte</v>
          </cell>
          <cell r="E2" t="str">
            <v>Staal</v>
          </cell>
          <cell r="F2" t="str">
            <v>RVS</v>
          </cell>
          <cell r="G2" t="str">
            <v>Inbrandtijd</v>
          </cell>
        </row>
        <row r="3">
          <cell r="A3" t="str">
            <v>Uren engineering</v>
          </cell>
          <cell r="B3">
            <v>65</v>
          </cell>
          <cell r="D3">
            <v>1</v>
          </cell>
          <cell r="E3">
            <v>6.5</v>
          </cell>
          <cell r="F3">
            <v>7.5</v>
          </cell>
          <cell r="G3">
            <v>0.1</v>
          </cell>
        </row>
        <row r="4">
          <cell r="A4" t="str">
            <v>Uren werkvoorbereiding</v>
          </cell>
          <cell r="B4">
            <v>48</v>
          </cell>
          <cell r="D4">
            <v>2</v>
          </cell>
          <cell r="E4">
            <v>5</v>
          </cell>
          <cell r="F4">
            <v>5</v>
          </cell>
          <cell r="G4">
            <v>0.1</v>
          </cell>
        </row>
        <row r="5">
          <cell r="A5" t="str">
            <v>Uren project begeleiding werkplaatschefs</v>
          </cell>
          <cell r="B5">
            <v>48</v>
          </cell>
          <cell r="D5">
            <v>3</v>
          </cell>
          <cell r="E5">
            <v>3.6</v>
          </cell>
          <cell r="F5">
            <v>3.2</v>
          </cell>
          <cell r="G5">
            <v>0.1</v>
          </cell>
        </row>
        <row r="6">
          <cell r="A6" t="str">
            <v>Uren uittrekken materialen</v>
          </cell>
          <cell r="B6">
            <v>48</v>
          </cell>
          <cell r="D6">
            <v>4</v>
          </cell>
          <cell r="E6">
            <v>2.8</v>
          </cell>
          <cell r="F6">
            <v>2.1</v>
          </cell>
          <cell r="G6">
            <v>0.1</v>
          </cell>
        </row>
        <row r="7">
          <cell r="A7" t="str">
            <v>Uren machinale bewerkingen</v>
          </cell>
          <cell r="B7">
            <v>48</v>
          </cell>
          <cell r="D7">
            <v>5</v>
          </cell>
          <cell r="E7">
            <v>2.5</v>
          </cell>
          <cell r="F7">
            <v>2</v>
          </cell>
          <cell r="G7">
            <v>0.15</v>
          </cell>
        </row>
        <row r="8">
          <cell r="A8" t="str">
            <v>Uren schroeven maken</v>
          </cell>
          <cell r="B8">
            <v>48</v>
          </cell>
          <cell r="D8">
            <v>6</v>
          </cell>
          <cell r="E8">
            <v>2.2000000000000002</v>
          </cell>
          <cell r="F8">
            <v>1.4</v>
          </cell>
          <cell r="G8">
            <v>0.15</v>
          </cell>
        </row>
        <row r="9">
          <cell r="A9" t="str">
            <v>Uren constructiewerk</v>
          </cell>
          <cell r="B9">
            <v>48</v>
          </cell>
          <cell r="D9">
            <v>8</v>
          </cell>
          <cell r="E9">
            <v>1.8</v>
          </cell>
          <cell r="F9">
            <v>0.74</v>
          </cell>
          <cell r="G9">
            <v>0.2</v>
          </cell>
        </row>
        <row r="10">
          <cell r="A10" t="str">
            <v>Uren lassen</v>
          </cell>
          <cell r="B10">
            <v>48</v>
          </cell>
          <cell r="D10">
            <v>10</v>
          </cell>
          <cell r="E10">
            <v>1.2</v>
          </cell>
          <cell r="F10">
            <v>0.42</v>
          </cell>
          <cell r="G10">
            <v>0.2</v>
          </cell>
        </row>
        <row r="11">
          <cell r="A11" t="str">
            <v>Uren assemblage</v>
          </cell>
          <cell r="B11">
            <v>48</v>
          </cell>
          <cell r="D11">
            <v>12</v>
          </cell>
          <cell r="E11">
            <v>0.9</v>
          </cell>
          <cell r="F11" t="str">
            <v>nvt</v>
          </cell>
        </row>
        <row r="12">
          <cell r="A12" t="str">
            <v>Uren oppervlakte behandeling (glasparelen)</v>
          </cell>
          <cell r="B12">
            <v>48</v>
          </cell>
          <cell r="D12">
            <v>15</v>
          </cell>
          <cell r="E12">
            <v>0.6</v>
          </cell>
          <cell r="F12" t="str">
            <v>nvt</v>
          </cell>
        </row>
        <row r="13">
          <cell r="A13" t="str">
            <v xml:space="preserve">Uren project begeleiding </v>
          </cell>
          <cell r="B13">
            <v>65</v>
          </cell>
        </row>
        <row r="14">
          <cell r="A14" t="str">
            <v>Uren snijwerk derden / laser &amp; Plasmasnijden</v>
          </cell>
          <cell r="B14">
            <v>200</v>
          </cell>
        </row>
        <row r="15">
          <cell r="A15" t="str">
            <v>Uren Sr. project engineering</v>
          </cell>
          <cell r="B15">
            <v>65</v>
          </cell>
        </row>
        <row r="16">
          <cell r="A16" t="str">
            <v>Uren transport intern</v>
          </cell>
          <cell r="B16">
            <v>48</v>
          </cell>
          <cell r="E16" t="str">
            <v>voordraaien</v>
          </cell>
          <cell r="G16" t="str">
            <v>nadraaien</v>
          </cell>
          <cell r="I16" t="str">
            <v>snijsnelheid</v>
          </cell>
          <cell r="K16" t="str">
            <v>Cap.</v>
          </cell>
        </row>
        <row r="17">
          <cell r="A17" t="str">
            <v>Uren montage op locatie</v>
          </cell>
          <cell r="B17">
            <v>48</v>
          </cell>
          <cell r="E17" t="str">
            <v>snedediepte</v>
          </cell>
          <cell r="F17" t="str">
            <v>voeding</v>
          </cell>
          <cell r="G17" t="str">
            <v>snedediepte</v>
          </cell>
          <cell r="H17" t="str">
            <v>aanzet</v>
          </cell>
          <cell r="I17" t="str">
            <v>feed/m</v>
          </cell>
          <cell r="J17" t="str">
            <v>m/s</v>
          </cell>
          <cell r="K17" t="str">
            <v>mm3/s</v>
          </cell>
        </row>
        <row r="18">
          <cell r="A18" t="str">
            <v>Kilometerkosten /km</v>
          </cell>
          <cell r="B18">
            <v>0.35</v>
          </cell>
          <cell r="D18" t="str">
            <v>RVS 431</v>
          </cell>
          <cell r="E18">
            <v>2.5</v>
          </cell>
          <cell r="F18">
            <v>0.4</v>
          </cell>
          <cell r="I18">
            <v>200</v>
          </cell>
          <cell r="J18">
            <v>1.016</v>
          </cell>
          <cell r="K18">
            <v>1016</v>
          </cell>
        </row>
        <row r="19">
          <cell r="A19" t="str">
            <v>In bedrijf name</v>
          </cell>
          <cell r="D19" t="str">
            <v>C45</v>
          </cell>
          <cell r="E19">
            <v>5</v>
          </cell>
          <cell r="F19">
            <v>0.25</v>
          </cell>
          <cell r="I19">
            <v>200</v>
          </cell>
          <cell r="J19">
            <v>1.016</v>
          </cell>
          <cell r="K19">
            <v>1270</v>
          </cell>
        </row>
        <row r="20">
          <cell r="A20" t="str">
            <v>ma-vr 06:00-16:30  8 normale uren</v>
          </cell>
          <cell r="B20">
            <v>1</v>
          </cell>
          <cell r="D20" t="str">
            <v>GG</v>
          </cell>
        </row>
        <row r="21">
          <cell r="A21" t="str">
            <v>ma.-vr. 0-2 overuren</v>
          </cell>
          <cell r="B21">
            <v>1.25</v>
          </cell>
        </row>
        <row r="22">
          <cell r="A22" t="str">
            <v>ma.-vr. 0-2 overuren</v>
          </cell>
          <cell r="B22">
            <v>1.42</v>
          </cell>
          <cell r="D22" t="str">
            <v>Totale lengte</v>
          </cell>
          <cell r="F22">
            <v>423</v>
          </cell>
          <cell r="G22" t="str">
            <v>mm</v>
          </cell>
        </row>
        <row r="23">
          <cell r="A23" t="str">
            <v>zat. Tot 14:00 uur</v>
          </cell>
          <cell r="B23">
            <v>1.47</v>
          </cell>
          <cell r="D23" t="str">
            <v>Flensdiameter</v>
          </cell>
          <cell r="F23">
            <v>170</v>
          </cell>
          <cell r="G23" t="str">
            <v>mm</v>
          </cell>
          <cell r="I23" t="str">
            <v>bruto gewicht</v>
          </cell>
          <cell r="J23">
            <v>84.497705435608466</v>
          </cell>
          <cell r="K23" t="str">
            <v>kg</v>
          </cell>
        </row>
        <row r="24">
          <cell r="A24" t="str">
            <v>zat. Tot 14:00 uur</v>
          </cell>
          <cell r="B24">
            <v>1.64</v>
          </cell>
          <cell r="D24" t="str">
            <v>Asdiameter</v>
          </cell>
          <cell r="E24" t="str">
            <v>gem.</v>
          </cell>
          <cell r="F24">
            <v>60</v>
          </cell>
          <cell r="G24" t="str">
            <v>mm</v>
          </cell>
          <cell r="I24" t="str">
            <v>te verspannen vol.</v>
          </cell>
          <cell r="J24">
            <v>7908488.2665142659</v>
          </cell>
          <cell r="K24" t="str">
            <v>mm3</v>
          </cell>
        </row>
        <row r="25">
          <cell r="A25" t="str">
            <v>Zondag (en feestdagen?)</v>
          </cell>
          <cell r="B25">
            <v>1.83</v>
          </cell>
          <cell r="D25" t="str">
            <v>Flensdikte</v>
          </cell>
          <cell r="F25">
            <v>25</v>
          </cell>
          <cell r="G25" t="str">
            <v>mm</v>
          </cell>
          <cell r="I25" t="str">
            <v>afval gewicht</v>
          </cell>
          <cell r="J25">
            <v>62.081632892136987</v>
          </cell>
          <cell r="K25" t="str">
            <v>kg</v>
          </cell>
        </row>
        <row r="27">
          <cell r="A27" t="str">
            <v>IKP</v>
          </cell>
          <cell r="B27">
            <v>0.17499999999999999</v>
          </cell>
          <cell r="D27" t="str">
            <v>draad snijden</v>
          </cell>
          <cell r="F27">
            <v>0.5</v>
          </cell>
        </row>
        <row r="28">
          <cell r="D28" t="str">
            <v>flens boren</v>
          </cell>
          <cell r="F28">
            <v>0.5</v>
          </cell>
          <cell r="G28" t="str">
            <v>uur</v>
          </cell>
        </row>
        <row r="29">
          <cell r="A29" t="str">
            <v>dagvergoeding bij 8 uur of minder</v>
          </cell>
          <cell r="B29">
            <v>16</v>
          </cell>
          <cell r="D29" t="str">
            <v>spibaan frezen</v>
          </cell>
          <cell r="F29">
            <v>0.5</v>
          </cell>
          <cell r="G29" t="str">
            <v>uur</v>
          </cell>
        </row>
        <row r="30">
          <cell r="A30" t="str">
            <v>dagvergoeding bij meer dan 8 uur</v>
          </cell>
          <cell r="B30">
            <v>40</v>
          </cell>
          <cell r="F30" t="str">
            <v>RVS 304</v>
          </cell>
          <cell r="G30" t="str">
            <v>RVS 316</v>
          </cell>
          <cell r="I30" t="str">
            <v xml:space="preserve">St.45 </v>
          </cell>
        </row>
        <row r="31">
          <cell r="A31" t="str">
            <v>Tarieven km-vergoeding (verkoopprijs)</v>
          </cell>
          <cell r="B31">
            <v>0.5</v>
          </cell>
          <cell r="C31" t="str">
            <v>/km</v>
          </cell>
          <cell r="D31" t="str">
            <v>netto snijtijd</v>
          </cell>
          <cell r="F31">
            <v>2.1622069845019318</v>
          </cell>
          <cell r="G31" t="str">
            <v>uur</v>
          </cell>
          <cell r="I31">
            <v>1.7297655876015454</v>
          </cell>
        </row>
        <row r="32">
          <cell r="A32" t="str">
            <v>dagvergoeding buitenland</v>
          </cell>
          <cell r="B32">
            <v>80</v>
          </cell>
          <cell r="D32" t="str">
            <v>ijlgang</v>
          </cell>
          <cell r="E32">
            <v>0.2</v>
          </cell>
          <cell r="F32">
            <v>0.43244139690038641</v>
          </cell>
          <cell r="G32" t="str">
            <v>uur</v>
          </cell>
          <cell r="I32">
            <v>0.34595311752030911</v>
          </cell>
        </row>
        <row r="33">
          <cell r="D33" t="str">
            <v>Handling en omsteltijden</v>
          </cell>
          <cell r="F33">
            <v>0.8</v>
          </cell>
          <cell r="G33" t="str">
            <v>uur</v>
          </cell>
          <cell r="I33">
            <v>0.8</v>
          </cell>
        </row>
        <row r="34">
          <cell r="A34" t="str">
            <v>TIG lassen (zonder voorbewerking)</v>
          </cell>
          <cell r="B34" t="str">
            <v>5-8 cm/min</v>
          </cell>
        </row>
        <row r="35">
          <cell r="A35" t="str">
            <v>STT (zonder voobewerking)</v>
          </cell>
          <cell r="B35" t="str">
            <v>10-16 cm/min</v>
          </cell>
          <cell r="D35" t="str">
            <v>Totaal mach. Bew.</v>
          </cell>
          <cell r="F35">
            <v>4.8946483814023178</v>
          </cell>
          <cell r="G35" t="str">
            <v>uur</v>
          </cell>
          <cell r="I35">
            <v>4.3757187051218542</v>
          </cell>
        </row>
        <row r="36">
          <cell r="D36" t="str">
            <v>FKP bewerk</v>
          </cell>
          <cell r="E36" t="str">
            <v>(ex wvb,eng)</v>
          </cell>
          <cell r="F36">
            <v>234.94312230731126</v>
          </cell>
          <cell r="I36">
            <v>210.03449784584899</v>
          </cell>
        </row>
        <row r="37">
          <cell r="D37" t="str">
            <v>mat</v>
          </cell>
          <cell r="F37" t="e">
            <v>#VALUE!</v>
          </cell>
          <cell r="G37">
            <v>16139.061738201217</v>
          </cell>
          <cell r="I37">
            <v>0</v>
          </cell>
        </row>
        <row r="39">
          <cell r="D39" t="str">
            <v>Kaal FPK</v>
          </cell>
          <cell r="F39" t="e">
            <v>#VALUE!</v>
          </cell>
          <cell r="G39">
            <v>16374.004860508529</v>
          </cell>
          <cell r="I39">
            <v>234.94312230731126</v>
          </cell>
        </row>
        <row r="40">
          <cell r="F40" t="str">
            <v>RVS 304</v>
          </cell>
          <cell r="G40" t="str">
            <v>RVS 316</v>
          </cell>
          <cell r="I40" t="str">
            <v xml:space="preserve">St.45 </v>
          </cell>
        </row>
        <row r="41">
          <cell r="D41" t="str">
            <v>VK</v>
          </cell>
          <cell r="F41" t="e">
            <v>#VALUE!</v>
          </cell>
          <cell r="G41">
            <v>22104.906561686515</v>
          </cell>
          <cell r="I41">
            <v>317.17321511487023</v>
          </cell>
        </row>
        <row r="42">
          <cell r="D42" t="str">
            <v>aantal</v>
          </cell>
          <cell r="E42">
            <v>2</v>
          </cell>
          <cell r="F42" t="e">
            <v>#VALUE!</v>
          </cell>
          <cell r="G42">
            <v>44209.813123373031</v>
          </cell>
          <cell r="I42">
            <v>634.34643022974046</v>
          </cell>
        </row>
        <row r="45">
          <cell r="D45" t="str">
            <v>diameter 1</v>
          </cell>
          <cell r="E45">
            <v>50</v>
          </cell>
          <cell r="G45" t="str">
            <v>gewicht</v>
          </cell>
          <cell r="H45">
            <v>1.9266798695843652</v>
          </cell>
        </row>
        <row r="46">
          <cell r="D46" t="str">
            <v>lengte</v>
          </cell>
          <cell r="E46">
            <v>125</v>
          </cell>
        </row>
        <row r="47">
          <cell r="D47" t="str">
            <v>diameter 2</v>
          </cell>
          <cell r="E47">
            <v>55</v>
          </cell>
          <cell r="G47" t="str">
            <v>gewicht</v>
          </cell>
          <cell r="H47">
            <v>4.1030574502668644</v>
          </cell>
        </row>
        <row r="48">
          <cell r="D48" t="str">
            <v>lengte</v>
          </cell>
          <cell r="E48">
            <v>220</v>
          </cell>
        </row>
        <row r="49">
          <cell r="D49" t="str">
            <v>diameter 3</v>
          </cell>
          <cell r="E49">
            <v>70</v>
          </cell>
          <cell r="G49" t="str">
            <v>gewicht</v>
          </cell>
          <cell r="H49">
            <v>1.5105170177541425</v>
          </cell>
        </row>
        <row r="50">
          <cell r="D50" t="str">
            <v>lengte</v>
          </cell>
          <cell r="E50">
            <v>50</v>
          </cell>
        </row>
        <row r="51">
          <cell r="D51" t="str">
            <v>diameter 4</v>
          </cell>
          <cell r="E51">
            <v>170</v>
          </cell>
          <cell r="G51" t="str">
            <v>gewicht</v>
          </cell>
          <cell r="H51">
            <v>4.454483858479052</v>
          </cell>
        </row>
        <row r="52">
          <cell r="D52" t="str">
            <v>lengte</v>
          </cell>
          <cell r="E52">
            <v>25</v>
          </cell>
        </row>
        <row r="54">
          <cell r="D54" t="str">
            <v>Totale lengte</v>
          </cell>
          <cell r="E54">
            <v>420</v>
          </cell>
          <cell r="G54" t="str">
            <v>tot.</v>
          </cell>
          <cell r="H54">
            <v>11.994738196084423</v>
          </cell>
          <cell r="I54" t="str">
            <v>kg</v>
          </cell>
        </row>
      </sheetData>
      <sheetData sheetId="9">
        <row r="3">
          <cell r="E3">
            <v>202</v>
          </cell>
        </row>
      </sheetData>
      <sheetData sheetId="10">
        <row r="8">
          <cell r="B8" t="str">
            <v>10-20m2</v>
          </cell>
        </row>
      </sheetData>
      <sheetData sheetId="11">
        <row r="1">
          <cell r="F1">
            <v>38169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opLeftCell="A4" zoomScale="70" zoomScaleNormal="70" workbookViewId="0">
      <selection activeCell="Z20" sqref="Z20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4"/>
  <sheetViews>
    <sheetView tabSelected="1" topLeftCell="A2" zoomScaleNormal="100" workbookViewId="0">
      <selection activeCell="B7" sqref="B7"/>
    </sheetView>
  </sheetViews>
  <sheetFormatPr defaultRowHeight="15"/>
  <cols>
    <col min="1" max="1" width="54.85546875" style="3" customWidth="1"/>
    <col min="2" max="2" width="32.7109375" style="3" customWidth="1"/>
    <col min="3" max="3" width="19" style="3" customWidth="1"/>
    <col min="4" max="4" width="83.7109375" style="3" customWidth="1"/>
    <col min="5" max="16384" width="9.140625" style="3"/>
  </cols>
  <sheetData>
    <row r="1" spans="1:4">
      <c r="D1" s="62"/>
    </row>
    <row r="2" spans="1:4" ht="21">
      <c r="A2" s="270" t="s">
        <v>189</v>
      </c>
    </row>
    <row r="3" spans="1:4" ht="45" customHeight="1">
      <c r="A3" s="289" t="s">
        <v>191</v>
      </c>
      <c r="B3" s="289"/>
      <c r="C3" s="289"/>
    </row>
    <row r="4" spans="1:4" s="2" customFormat="1"/>
    <row r="5" spans="1:4">
      <c r="A5" s="61" t="s">
        <v>190</v>
      </c>
    </row>
    <row r="6" spans="1:4">
      <c r="A6" s="62"/>
      <c r="B6" s="62"/>
      <c r="C6" s="62"/>
    </row>
    <row r="7" spans="1:4">
      <c r="A7" s="178"/>
      <c r="B7" s="178"/>
      <c r="C7" s="178"/>
      <c r="D7" s="249"/>
    </row>
    <row r="8" spans="1:4" ht="18.75">
      <c r="A8" s="204" t="s">
        <v>185</v>
      </c>
      <c r="B8" s="178"/>
      <c r="C8" s="178"/>
      <c r="D8" s="249"/>
    </row>
    <row r="9" spans="1:4">
      <c r="A9" s="269" t="s">
        <v>175</v>
      </c>
      <c r="B9" s="244" t="s">
        <v>9</v>
      </c>
      <c r="C9" s="275">
        <v>2</v>
      </c>
      <c r="D9" s="249"/>
    </row>
    <row r="10" spans="1:4">
      <c r="A10" s="215" t="s">
        <v>177</v>
      </c>
      <c r="B10" s="246" t="s">
        <v>10</v>
      </c>
      <c r="C10" s="276">
        <v>0.54600000000000004</v>
      </c>
    </row>
    <row r="11" spans="1:4">
      <c r="A11" s="215" t="s">
        <v>178</v>
      </c>
      <c r="B11" s="246" t="s">
        <v>10</v>
      </c>
      <c r="C11" s="276">
        <v>0.27300000000000002</v>
      </c>
      <c r="D11" s="249"/>
    </row>
    <row r="12" spans="1:4">
      <c r="A12" s="215" t="s">
        <v>179</v>
      </c>
      <c r="B12" s="246" t="s">
        <v>10</v>
      </c>
      <c r="C12" s="276">
        <v>0.01</v>
      </c>
      <c r="D12" s="249"/>
    </row>
    <row r="13" spans="1:4">
      <c r="A13" s="215" t="s">
        <v>182</v>
      </c>
      <c r="B13" s="246" t="s">
        <v>11</v>
      </c>
      <c r="C13" s="276">
        <v>16</v>
      </c>
      <c r="D13" s="199"/>
    </row>
    <row r="14" spans="1:4">
      <c r="A14" s="215" t="s">
        <v>176</v>
      </c>
      <c r="B14" s="246" t="s">
        <v>13</v>
      </c>
      <c r="C14" s="276">
        <v>30</v>
      </c>
      <c r="D14" s="199"/>
    </row>
    <row r="15" spans="1:4">
      <c r="A15" s="215" t="s">
        <v>181</v>
      </c>
      <c r="B15" s="246" t="s">
        <v>10</v>
      </c>
      <c r="C15" s="273">
        <f>0.5*(C10-C11)</f>
        <v>0.13650000000000001</v>
      </c>
      <c r="D15" s="249"/>
    </row>
    <row r="16" spans="1:4">
      <c r="A16" s="274" t="s">
        <v>180</v>
      </c>
      <c r="B16" s="248" t="s">
        <v>12</v>
      </c>
      <c r="C16" s="277">
        <f>C9*2*0.25*PI()*(C10^2-C11^2)</f>
        <v>0.70241927663818116</v>
      </c>
      <c r="D16" s="249"/>
    </row>
    <row r="17" spans="1:4">
      <c r="A17" s="271"/>
      <c r="B17" s="271"/>
      <c r="C17" s="271"/>
      <c r="D17" s="199"/>
    </row>
    <row r="18" spans="1:4" ht="18.75">
      <c r="A18" s="282" t="s">
        <v>187</v>
      </c>
      <c r="B18" s="271"/>
      <c r="C18" s="271"/>
    </row>
    <row r="19" spans="1:4">
      <c r="A19" s="183" t="s">
        <v>173</v>
      </c>
      <c r="B19" s="205" t="s">
        <v>9</v>
      </c>
      <c r="C19" s="278">
        <f>C15*(C14/(C13*0.5*C12))^0.5</f>
        <v>2.643311133786562</v>
      </c>
      <c r="D19" s="199"/>
    </row>
    <row r="20" spans="1:4">
      <c r="A20" s="188" t="s">
        <v>172</v>
      </c>
      <c r="B20" s="207" t="s">
        <v>9</v>
      </c>
      <c r="C20" s="279">
        <f>1+0.35*LN((C10/2)/(C11/2))</f>
        <v>1.2426015131959809</v>
      </c>
      <c r="D20" s="268" t="s">
        <v>174</v>
      </c>
    </row>
    <row r="21" spans="1:4">
      <c r="A21" s="245" t="s">
        <v>156</v>
      </c>
      <c r="B21" s="247" t="s">
        <v>9</v>
      </c>
      <c r="C21" s="280">
        <f>TANH(C19*C20)/(C19*C20)</f>
        <v>0.30359962635866933</v>
      </c>
      <c r="D21" s="199"/>
    </row>
    <row r="22" spans="1:4">
      <c r="A22" s="274" t="s">
        <v>186</v>
      </c>
      <c r="B22" s="248" t="s">
        <v>12</v>
      </c>
      <c r="C22" s="277">
        <f>C21*C16</f>
        <v>0.2132542299344786</v>
      </c>
      <c r="D22" s="249"/>
    </row>
    <row r="23" spans="1:4">
      <c r="A23" s="271"/>
      <c r="B23" s="271"/>
      <c r="C23" s="271"/>
      <c r="D23" s="178"/>
    </row>
    <row r="24" spans="1:4" ht="18.75">
      <c r="A24" s="281" t="s">
        <v>188</v>
      </c>
      <c r="B24" s="272"/>
      <c r="C24" s="272"/>
      <c r="D24" s="178"/>
    </row>
    <row r="25" spans="1:4">
      <c r="A25" s="283" t="s">
        <v>184</v>
      </c>
      <c r="B25" s="286" t="s">
        <v>9</v>
      </c>
      <c r="C25" s="284">
        <f>(PI()*C14/C13/C12)^0.5</f>
        <v>24.270323906946238</v>
      </c>
      <c r="D25" s="178"/>
    </row>
    <row r="26" spans="1:4">
      <c r="A26" s="132" t="s">
        <v>183</v>
      </c>
      <c r="B26" s="287" t="s">
        <v>9</v>
      </c>
      <c r="C26" s="285">
        <f>TANH(C15*C25)/(C15*C25)</f>
        <v>0.30105113472325074</v>
      </c>
    </row>
    <row r="27" spans="1:4">
      <c r="A27" s="274" t="s">
        <v>186</v>
      </c>
      <c r="B27" s="248" t="s">
        <v>12</v>
      </c>
      <c r="C27" s="277">
        <f>C26*C16</f>
        <v>0.21146412028340941</v>
      </c>
    </row>
    <row r="30" spans="1:4" ht="45" customHeight="1">
      <c r="A30" s="288" t="s">
        <v>16</v>
      </c>
      <c r="B30" s="288"/>
      <c r="C30" s="288"/>
    </row>
    <row r="57" spans="1:4">
      <c r="A57" s="122"/>
      <c r="B57" s="122"/>
      <c r="C57" s="122"/>
      <c r="D57" s="122"/>
    </row>
    <row r="58" spans="1:4">
      <c r="A58" s="122"/>
      <c r="B58" s="122"/>
      <c r="C58" s="122"/>
      <c r="D58" s="122"/>
    </row>
    <row r="59" spans="1:4">
      <c r="A59" s="122"/>
      <c r="B59" s="122"/>
      <c r="C59" s="122"/>
      <c r="D59" s="122"/>
    </row>
    <row r="60" spans="1:4">
      <c r="A60" s="122"/>
      <c r="B60" s="122"/>
      <c r="C60" s="122"/>
      <c r="D60" s="122"/>
    </row>
    <row r="61" spans="1:4">
      <c r="A61" s="122"/>
      <c r="B61" s="122"/>
      <c r="C61" s="122"/>
      <c r="D61" s="122"/>
    </row>
    <row r="62" spans="1:4">
      <c r="A62" s="122"/>
      <c r="B62" s="122"/>
      <c r="C62" s="122"/>
      <c r="D62" s="122"/>
    </row>
    <row r="63" spans="1:4">
      <c r="A63" s="122"/>
      <c r="B63" s="122"/>
      <c r="C63" s="122"/>
      <c r="D63" s="122"/>
    </row>
    <row r="64" spans="1:4">
      <c r="A64" s="122"/>
      <c r="B64" s="122"/>
      <c r="C64" s="122"/>
      <c r="D64" s="122"/>
    </row>
  </sheetData>
  <mergeCells count="2">
    <mergeCell ref="A30:C30"/>
    <mergeCell ref="A3:C3"/>
  </mergeCells>
  <pageMargins left="0.70866141732283472" right="0.70866141732283472" top="0.74803149606299213" bottom="0.74803149606299213" header="0.31496062992125984" footer="0.31496062992125984"/>
  <pageSetup paperSize="8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245"/>
  <sheetViews>
    <sheetView topLeftCell="A7" zoomScale="60" zoomScaleNormal="60" workbookViewId="0">
      <selection activeCell="A46" sqref="A46:E47"/>
    </sheetView>
  </sheetViews>
  <sheetFormatPr defaultRowHeight="15"/>
  <cols>
    <col min="1" max="1" width="60.140625" style="1" customWidth="1"/>
    <col min="2" max="2" width="13.5703125" style="3" customWidth="1"/>
    <col min="3" max="3" width="39" style="1" customWidth="1"/>
    <col min="4" max="4" width="33.85546875" style="1" customWidth="1"/>
    <col min="5" max="5" width="56.7109375" style="1" bestFit="1" customWidth="1"/>
    <col min="6" max="11" width="9.140625" style="1"/>
    <col min="12" max="12" width="21.28515625" style="1" bestFit="1" customWidth="1"/>
    <col min="13" max="24" width="9.140625" style="1"/>
    <col min="25" max="25" width="9.7109375" style="1" customWidth="1"/>
    <col min="26" max="16384" width="9.140625" style="1"/>
  </cols>
  <sheetData>
    <row r="1" spans="1:33">
      <c r="B1" s="62"/>
      <c r="C1" s="4"/>
      <c r="D1" s="4"/>
      <c r="E1" s="4"/>
    </row>
    <row r="2" spans="1:33">
      <c r="B2" s="110"/>
    </row>
    <row r="3" spans="1:33">
      <c r="B3" s="63"/>
    </row>
    <row r="4" spans="1:33" s="2" customFormat="1"/>
    <row r="6" spans="1:33">
      <c r="A6" s="177" t="s">
        <v>171</v>
      </c>
      <c r="B6" s="178"/>
      <c r="C6" s="178"/>
      <c r="D6" s="178"/>
      <c r="E6" s="178"/>
    </row>
    <row r="7" spans="1:33">
      <c r="A7" s="179" t="s">
        <v>40</v>
      </c>
      <c r="B7" s="178"/>
      <c r="C7" s="178"/>
      <c r="D7" s="178"/>
      <c r="E7" s="178"/>
    </row>
    <row r="8" spans="1:33">
      <c r="A8" s="180"/>
      <c r="B8" s="178"/>
      <c r="C8" s="178"/>
      <c r="D8" s="178"/>
      <c r="E8" s="178"/>
    </row>
    <row r="9" spans="1:33">
      <c r="A9" s="178"/>
      <c r="B9" s="178"/>
      <c r="C9" s="178"/>
      <c r="D9" s="178"/>
      <c r="E9" s="178"/>
    </row>
    <row r="10" spans="1:33" ht="18.75">
      <c r="A10" s="181" t="s">
        <v>140</v>
      </c>
      <c r="B10" s="178"/>
      <c r="C10" s="182" t="s">
        <v>166</v>
      </c>
      <c r="D10" s="182" t="s">
        <v>167</v>
      </c>
      <c r="E10" s="178"/>
    </row>
    <row r="11" spans="1:33">
      <c r="A11" s="183" t="s">
        <v>168</v>
      </c>
      <c r="B11" s="184" t="s">
        <v>9</v>
      </c>
      <c r="C11" s="185" t="s">
        <v>43</v>
      </c>
      <c r="D11" s="186" t="s">
        <v>42</v>
      </c>
      <c r="E11" s="187"/>
      <c r="F11" s="122"/>
      <c r="L11" s="34" t="s">
        <v>38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12"/>
      <c r="Y11" s="12"/>
      <c r="Z11" s="12"/>
      <c r="AA11" s="12"/>
      <c r="AB11" s="12"/>
      <c r="AC11" s="12"/>
      <c r="AD11" s="12"/>
      <c r="AE11" s="12"/>
      <c r="AF11" s="12"/>
      <c r="AG11" s="13"/>
    </row>
    <row r="12" spans="1:33">
      <c r="A12" s="188" t="s">
        <v>122</v>
      </c>
      <c r="B12" s="189" t="s">
        <v>9</v>
      </c>
      <c r="C12" s="190" t="s">
        <v>41</v>
      </c>
      <c r="D12" s="191" t="s">
        <v>41</v>
      </c>
      <c r="E12" s="187"/>
      <c r="F12" s="122"/>
      <c r="L12" s="14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11"/>
      <c r="Y12" s="11"/>
      <c r="Z12" s="11"/>
      <c r="AA12" s="11"/>
      <c r="AB12" s="11"/>
      <c r="AC12" s="11"/>
      <c r="AD12" s="11"/>
      <c r="AE12" s="11"/>
      <c r="AF12" s="11"/>
      <c r="AG12" s="15"/>
    </row>
    <row r="13" spans="1:33">
      <c r="A13" s="188" t="s">
        <v>123</v>
      </c>
      <c r="B13" s="192" t="s">
        <v>1</v>
      </c>
      <c r="C13" s="193">
        <v>600</v>
      </c>
      <c r="D13" s="194">
        <v>700</v>
      </c>
      <c r="E13" s="187"/>
      <c r="F13" s="122"/>
      <c r="L13" s="7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11"/>
      <c r="Y13" s="11"/>
      <c r="Z13" s="11"/>
      <c r="AA13" s="11"/>
      <c r="AB13" s="11"/>
      <c r="AC13" s="11"/>
      <c r="AD13" s="11"/>
      <c r="AE13" s="11"/>
      <c r="AF13" s="11"/>
      <c r="AG13" s="15"/>
    </row>
    <row r="14" spans="1:33">
      <c r="A14" s="188" t="s">
        <v>124</v>
      </c>
      <c r="B14" s="192" t="s">
        <v>0</v>
      </c>
      <c r="C14" s="193">
        <v>650</v>
      </c>
      <c r="D14" s="194">
        <v>750</v>
      </c>
      <c r="E14" s="187"/>
      <c r="F14" s="122"/>
      <c r="K14" s="9"/>
      <c r="L14" s="7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16"/>
    </row>
    <row r="15" spans="1:33">
      <c r="A15" s="188" t="s">
        <v>125</v>
      </c>
      <c r="B15" s="192" t="s">
        <v>0</v>
      </c>
      <c r="C15" s="193">
        <v>90</v>
      </c>
      <c r="D15" s="194">
        <v>80</v>
      </c>
      <c r="E15" s="187"/>
      <c r="F15" s="122"/>
      <c r="K15" s="9"/>
      <c r="L15" s="7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11"/>
      <c r="Y15" s="11"/>
      <c r="Z15" s="11"/>
      <c r="AA15" s="8"/>
      <c r="AB15" s="8"/>
      <c r="AC15" s="8"/>
      <c r="AD15" s="8"/>
      <c r="AE15" s="8"/>
      <c r="AF15" s="8"/>
      <c r="AG15" s="15"/>
    </row>
    <row r="16" spans="1:33">
      <c r="A16" s="195" t="s">
        <v>111</v>
      </c>
      <c r="B16" s="196" t="s">
        <v>39</v>
      </c>
      <c r="C16" s="197">
        <v>350</v>
      </c>
      <c r="D16" s="198">
        <v>350</v>
      </c>
      <c r="E16" s="187"/>
      <c r="F16" s="122"/>
      <c r="K16" s="9"/>
      <c r="L16" s="7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39" t="s">
        <v>24</v>
      </c>
      <c r="Y16" s="58"/>
      <c r="Z16" s="40" t="s">
        <v>3</v>
      </c>
      <c r="AA16" s="49">
        <f>C31</f>
        <v>50</v>
      </c>
      <c r="AB16" s="8"/>
      <c r="AC16" s="8"/>
      <c r="AD16" s="8"/>
      <c r="AE16" s="8"/>
      <c r="AF16" s="8"/>
      <c r="AG16" s="15"/>
    </row>
    <row r="17" spans="1:33">
      <c r="A17" s="188" t="s">
        <v>126</v>
      </c>
      <c r="B17" s="192" t="s">
        <v>4</v>
      </c>
      <c r="C17" s="193">
        <v>1300</v>
      </c>
      <c r="D17" s="194">
        <v>1300</v>
      </c>
      <c r="E17" s="199"/>
      <c r="F17" s="122"/>
      <c r="K17" s="9"/>
      <c r="L17" s="7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19" t="s">
        <v>28</v>
      </c>
      <c r="Y17" s="11"/>
      <c r="Z17" s="21" t="s">
        <v>31</v>
      </c>
      <c r="AA17" s="50">
        <f>C24</f>
        <v>0.54600000000000004</v>
      </c>
      <c r="AB17" s="20"/>
      <c r="AC17" s="20"/>
      <c r="AD17" s="20"/>
      <c r="AE17" s="20"/>
      <c r="AF17" s="20"/>
      <c r="AG17" s="15"/>
    </row>
    <row r="18" spans="1:33">
      <c r="A18" s="188" t="s">
        <v>127</v>
      </c>
      <c r="B18" s="192" t="s">
        <v>0</v>
      </c>
      <c r="C18" s="193">
        <v>25</v>
      </c>
      <c r="D18" s="194">
        <v>25</v>
      </c>
      <c r="E18" s="199" t="s">
        <v>44</v>
      </c>
      <c r="F18" s="122"/>
      <c r="K18" s="9"/>
      <c r="L18" s="7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19" t="s">
        <v>29</v>
      </c>
      <c r="Y18" s="11"/>
      <c r="Z18" s="21" t="s">
        <v>10</v>
      </c>
      <c r="AA18" s="51">
        <f>C25</f>
        <v>0.27300000000000002</v>
      </c>
      <c r="AB18" s="20"/>
      <c r="AC18" s="20"/>
      <c r="AD18" s="20"/>
      <c r="AE18" s="20"/>
      <c r="AF18" s="20"/>
      <c r="AG18" s="15"/>
    </row>
    <row r="19" spans="1:33">
      <c r="A19" s="200" t="s">
        <v>128</v>
      </c>
      <c r="B19" s="201" t="s">
        <v>2</v>
      </c>
      <c r="C19" s="202">
        <v>2.5</v>
      </c>
      <c r="D19" s="203">
        <v>2.5</v>
      </c>
      <c r="E19" s="199" t="s">
        <v>44</v>
      </c>
      <c r="F19" s="122"/>
      <c r="K19" s="9"/>
      <c r="L19" s="7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52" t="s">
        <v>30</v>
      </c>
      <c r="Y19" s="18"/>
      <c r="Z19" s="53" t="s">
        <v>12</v>
      </c>
      <c r="AA19" s="54">
        <f>0.25*PI()*(AA17*AA17-AA18*AA18)</f>
        <v>0.17560481915954529</v>
      </c>
      <c r="AB19" s="20"/>
      <c r="AC19" s="20"/>
      <c r="AD19" s="20"/>
      <c r="AE19" s="20"/>
      <c r="AF19" s="20"/>
      <c r="AG19" s="15"/>
    </row>
    <row r="20" spans="1:33">
      <c r="A20" s="187"/>
      <c r="B20" s="187"/>
      <c r="C20" s="187"/>
      <c r="D20" s="187"/>
      <c r="E20" s="199"/>
      <c r="F20" s="122"/>
      <c r="K20" s="9"/>
      <c r="L20" s="7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21"/>
      <c r="Y20" s="11"/>
      <c r="Z20" s="21"/>
      <c r="AA20" s="21"/>
      <c r="AB20" s="20"/>
      <c r="AC20" s="20"/>
      <c r="AD20" s="20"/>
      <c r="AE20" s="20"/>
      <c r="AF20" s="20"/>
      <c r="AG20" s="15"/>
    </row>
    <row r="21" spans="1:33">
      <c r="A21" s="187"/>
      <c r="B21" s="187"/>
      <c r="C21" s="187"/>
      <c r="D21" s="187"/>
      <c r="E21" s="199"/>
      <c r="F21" s="122"/>
      <c r="K21" s="9"/>
      <c r="L21" s="7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21"/>
      <c r="Y21" s="11"/>
      <c r="Z21" s="21"/>
      <c r="AA21" s="21"/>
      <c r="AB21" s="20"/>
      <c r="AC21" s="20"/>
      <c r="AD21" s="20"/>
      <c r="AE21" s="20"/>
      <c r="AF21" s="20"/>
      <c r="AG21" s="15"/>
    </row>
    <row r="22" spans="1:33" ht="18.75">
      <c r="A22" s="204" t="s">
        <v>141</v>
      </c>
      <c r="B22" s="187"/>
      <c r="C22" s="187"/>
      <c r="D22" s="187"/>
      <c r="E22" s="199"/>
      <c r="F22" s="122"/>
      <c r="K22" s="9"/>
      <c r="L22" s="7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21"/>
      <c r="Y22" s="11"/>
      <c r="Z22" s="21"/>
      <c r="AA22" s="21"/>
      <c r="AB22" s="20"/>
      <c r="AC22" s="20"/>
      <c r="AD22" s="20"/>
      <c r="AE22" s="20"/>
      <c r="AF22" s="20"/>
      <c r="AG22" s="15"/>
    </row>
    <row r="23" spans="1:33">
      <c r="A23" s="183" t="s">
        <v>129</v>
      </c>
      <c r="B23" s="205" t="s">
        <v>9</v>
      </c>
      <c r="C23" s="183">
        <v>1</v>
      </c>
      <c r="D23" s="206">
        <f>C23</f>
        <v>1</v>
      </c>
      <c r="E23" s="199"/>
      <c r="F23" s="122"/>
      <c r="K23" s="9"/>
      <c r="L23" s="7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20"/>
      <c r="Y23" s="11"/>
      <c r="Z23" s="20"/>
      <c r="AA23" s="20"/>
      <c r="AB23" s="20"/>
      <c r="AC23" s="20"/>
      <c r="AD23" s="20"/>
      <c r="AE23" s="20"/>
      <c r="AF23" s="20"/>
      <c r="AG23" s="15"/>
    </row>
    <row r="24" spans="1:33">
      <c r="A24" s="188" t="s">
        <v>131</v>
      </c>
      <c r="B24" s="207" t="s">
        <v>10</v>
      </c>
      <c r="C24" s="259">
        <v>0.54600000000000004</v>
      </c>
      <c r="D24" s="212">
        <f t="shared" ref="D24:D26" si="0">C24</f>
        <v>0.54600000000000004</v>
      </c>
      <c r="E24" s="199"/>
      <c r="F24" s="122"/>
      <c r="K24" s="9"/>
      <c r="L24" s="7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39" t="s">
        <v>26</v>
      </c>
      <c r="Y24" s="12"/>
      <c r="Z24" s="40">
        <f>AA16</f>
        <v>50</v>
      </c>
      <c r="AA24" s="40"/>
      <c r="AB24" s="41"/>
      <c r="AC24" s="11"/>
      <c r="AD24" s="11"/>
      <c r="AE24" s="11"/>
      <c r="AF24" s="11"/>
      <c r="AG24" s="15"/>
    </row>
    <row r="25" spans="1:33">
      <c r="A25" s="188" t="s">
        <v>130</v>
      </c>
      <c r="B25" s="207" t="s">
        <v>10</v>
      </c>
      <c r="C25" s="259">
        <v>0.27300000000000002</v>
      </c>
      <c r="D25" s="212">
        <f t="shared" si="0"/>
        <v>0.27300000000000002</v>
      </c>
      <c r="E25" s="199"/>
      <c r="F25" s="122"/>
      <c r="K25" s="9"/>
      <c r="L25" s="7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19" t="s">
        <v>27</v>
      </c>
      <c r="Y25" s="11"/>
      <c r="Z25" s="20">
        <f>HLOOKUP(Z26,M39:AG47,8,TRUE)</f>
        <v>49.999999999999993</v>
      </c>
      <c r="AA25" s="20">
        <f>MATCH(Z25,M46:AG46,0)</f>
        <v>11</v>
      </c>
      <c r="AB25" s="23">
        <f>INDEX(M46:AG47,1,AA25+1)</f>
        <v>54.258429863775163</v>
      </c>
      <c r="AC25" s="11"/>
      <c r="AD25" s="11"/>
      <c r="AE25" s="11"/>
      <c r="AF25" s="11"/>
      <c r="AG25" s="15"/>
    </row>
    <row r="26" spans="1:33">
      <c r="A26" s="188" t="s">
        <v>132</v>
      </c>
      <c r="B26" s="207" t="s">
        <v>10</v>
      </c>
      <c r="C26" s="259">
        <v>0.19</v>
      </c>
      <c r="D26" s="212">
        <f t="shared" si="0"/>
        <v>0.19</v>
      </c>
      <c r="E26" s="209" t="s">
        <v>121</v>
      </c>
      <c r="F26" s="122"/>
      <c r="K26" s="9"/>
      <c r="L26" s="7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25" t="s">
        <v>33</v>
      </c>
      <c r="Y26" s="55"/>
      <c r="Z26" s="26">
        <f>HLOOKUP(Z24,M46:AG47,2,TRUE)</f>
        <v>0.27299999999999996</v>
      </c>
      <c r="AA26" s="26">
        <f>MATCH(Z26,M47:AG47,0)</f>
        <v>11</v>
      </c>
      <c r="AB26" s="42">
        <f>INDEX(M46:AG47,2,AA26+1)</f>
        <v>0.30029999999999996</v>
      </c>
      <c r="AC26" s="11"/>
      <c r="AD26" s="11"/>
      <c r="AE26" s="11"/>
      <c r="AF26" s="11"/>
      <c r="AG26" s="15"/>
    </row>
    <row r="27" spans="1:33">
      <c r="A27" s="210" t="s">
        <v>65</v>
      </c>
      <c r="B27" s="211" t="s">
        <v>9</v>
      </c>
      <c r="C27" s="260">
        <v>1</v>
      </c>
      <c r="D27" s="265">
        <f>C27</f>
        <v>1</v>
      </c>
      <c r="E27" s="199"/>
      <c r="F27" s="122"/>
      <c r="K27" s="9"/>
      <c r="L27" s="7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25" t="s">
        <v>35</v>
      </c>
      <c r="Y27" s="55"/>
      <c r="Z27" s="27">
        <f>Z26+(AB26-Z26)*(Z24-Z25)/(AB25-Z25)</f>
        <v>0.27300000000000002</v>
      </c>
      <c r="AA27" s="26" t="s">
        <v>10</v>
      </c>
      <c r="AB27" s="42"/>
      <c r="AC27" s="11"/>
      <c r="AD27" s="11"/>
      <c r="AE27" s="11"/>
      <c r="AF27" s="11"/>
      <c r="AG27" s="15"/>
    </row>
    <row r="28" spans="1:33" s="3" customFormat="1">
      <c r="A28" s="188" t="s">
        <v>133</v>
      </c>
      <c r="B28" s="207" t="s">
        <v>10</v>
      </c>
      <c r="C28" s="259">
        <v>1.4999999999999999E-2</v>
      </c>
      <c r="D28" s="212">
        <f>C28</f>
        <v>1.4999999999999999E-2</v>
      </c>
      <c r="E28" s="199"/>
      <c r="F28" s="122"/>
      <c r="K28" s="9"/>
      <c r="L28" s="7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25" t="s">
        <v>19</v>
      </c>
      <c r="Y28" s="55"/>
      <c r="Z28" s="28">
        <f>ACOS(1-Z27/(0.5*AA17))</f>
        <v>1.5707963267948966</v>
      </c>
      <c r="AA28" s="26" t="s">
        <v>20</v>
      </c>
      <c r="AB28" s="43"/>
      <c r="AC28" s="11"/>
      <c r="AD28" s="11"/>
      <c r="AE28" s="11"/>
      <c r="AF28" s="11"/>
      <c r="AG28" s="15"/>
    </row>
    <row r="29" spans="1:33" s="3" customFormat="1">
      <c r="A29" s="188" t="s">
        <v>134</v>
      </c>
      <c r="B29" s="207" t="s">
        <v>47</v>
      </c>
      <c r="C29" s="259">
        <v>6</v>
      </c>
      <c r="D29" s="212">
        <f>C29</f>
        <v>6</v>
      </c>
      <c r="E29" s="199"/>
      <c r="F29" s="122"/>
      <c r="K29" s="9"/>
      <c r="L29" s="7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25" t="s">
        <v>32</v>
      </c>
      <c r="Y29" s="55"/>
      <c r="Z29" s="26">
        <f>Z28*AA17</f>
        <v>0.85765479443001358</v>
      </c>
      <c r="AA29" s="26" t="s">
        <v>12</v>
      </c>
      <c r="AB29" s="43"/>
      <c r="AC29" s="11"/>
      <c r="AD29" s="11"/>
      <c r="AE29" s="11"/>
      <c r="AF29" s="11"/>
      <c r="AG29" s="15"/>
    </row>
    <row r="30" spans="1:33" s="3" customFormat="1">
      <c r="A30" s="188" t="s">
        <v>135</v>
      </c>
      <c r="B30" s="207" t="s">
        <v>10</v>
      </c>
      <c r="C30" s="188">
        <f>0.5*(C24-C25)-C29/1000</f>
        <v>0.1305</v>
      </c>
      <c r="D30" s="212">
        <f>0.5*(D24-D25)-D29/1000</f>
        <v>0.1305</v>
      </c>
      <c r="E30" s="199" t="s">
        <v>149</v>
      </c>
      <c r="F30" s="122"/>
      <c r="K30" s="9"/>
      <c r="L30" s="7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29" t="s">
        <v>34</v>
      </c>
      <c r="Y30" s="56"/>
      <c r="Z30" s="30">
        <f>HLOOKUP(Z24,M46:AG48,3,TRUE)</f>
        <v>0.13649999999999995</v>
      </c>
      <c r="AA30" s="30">
        <f>MATCH(Z30,M48:AG48,0)</f>
        <v>11</v>
      </c>
      <c r="AB30" s="44">
        <f>INDEX(M46:AG48,3,AA30+1)</f>
        <v>0.16379999999999995</v>
      </c>
      <c r="AC30" s="11"/>
      <c r="AD30" s="11"/>
      <c r="AE30" s="11"/>
      <c r="AF30" s="11"/>
      <c r="AG30" s="15"/>
    </row>
    <row r="31" spans="1:33" s="3" customFormat="1">
      <c r="A31" s="188" t="s">
        <v>26</v>
      </c>
      <c r="B31" s="207" t="s">
        <v>3</v>
      </c>
      <c r="C31" s="259">
        <v>50</v>
      </c>
      <c r="D31" s="212">
        <f>C31</f>
        <v>50</v>
      </c>
      <c r="E31" s="199" t="s">
        <v>165</v>
      </c>
      <c r="F31" s="122"/>
      <c r="G31" s="35"/>
      <c r="H31" s="35"/>
      <c r="K31" s="9"/>
      <c r="L31" s="7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31" t="s">
        <v>37</v>
      </c>
      <c r="Y31" s="56"/>
      <c r="Z31" s="32">
        <f>Z30+(AB30-Z30)*(Z24-Z25)/(AB25-Z25)</f>
        <v>0.13650000000000001</v>
      </c>
      <c r="AA31" s="30" t="s">
        <v>10</v>
      </c>
      <c r="AB31" s="45"/>
      <c r="AC31" s="11"/>
      <c r="AD31" s="11"/>
      <c r="AE31" s="11"/>
      <c r="AF31" s="11"/>
      <c r="AG31" s="15"/>
    </row>
    <row r="32" spans="1:33">
      <c r="A32" s="188" t="s">
        <v>136</v>
      </c>
      <c r="B32" s="207" t="s">
        <v>11</v>
      </c>
      <c r="C32" s="259">
        <v>16</v>
      </c>
      <c r="D32" s="212">
        <f>C32</f>
        <v>16</v>
      </c>
      <c r="E32" s="199" t="s">
        <v>148</v>
      </c>
      <c r="F32" s="122"/>
      <c r="G32" s="35"/>
      <c r="H32" s="35"/>
      <c r="K32" s="9"/>
      <c r="L32" s="7"/>
      <c r="M32" s="20">
        <v>0</v>
      </c>
      <c r="N32" s="20">
        <v>0.01</v>
      </c>
      <c r="O32" s="20">
        <f>AA17</f>
        <v>0.54600000000000004</v>
      </c>
      <c r="P32" s="20">
        <f>0.5*(AA17-AA18)</f>
        <v>0.13650000000000001</v>
      </c>
      <c r="Q32" s="20">
        <f>P32+AA18</f>
        <v>0.40950000000000003</v>
      </c>
      <c r="R32" s="20">
        <f>Z27</f>
        <v>0.27300000000000002</v>
      </c>
      <c r="S32" s="8"/>
      <c r="T32" s="8"/>
      <c r="U32" s="8"/>
      <c r="V32" s="8"/>
      <c r="W32" s="8"/>
      <c r="X32" s="31" t="s">
        <v>25</v>
      </c>
      <c r="Y32" s="56"/>
      <c r="Z32" s="30">
        <f>ACOS(1-Z31/(0.5*$AA$18))</f>
        <v>1.5707963267948966</v>
      </c>
      <c r="AA32" s="33" t="s">
        <v>20</v>
      </c>
      <c r="AB32" s="45"/>
      <c r="AC32" s="11"/>
      <c r="AD32" s="11"/>
      <c r="AE32" s="11"/>
      <c r="AF32" s="11"/>
      <c r="AG32" s="15"/>
    </row>
    <row r="33" spans="1:37">
      <c r="A33" s="188" t="s">
        <v>137</v>
      </c>
      <c r="B33" s="207" t="s">
        <v>5</v>
      </c>
      <c r="C33" s="261">
        <f>(C14-C15)*C17*C13/3600/1000</f>
        <v>121.33333333333333</v>
      </c>
      <c r="D33" s="213">
        <f>(D14-D15)*D17*D13/3600/1000</f>
        <v>169.36111111111111</v>
      </c>
      <c r="E33" s="199"/>
      <c r="F33" s="122"/>
      <c r="G33" s="35"/>
      <c r="H33" s="35"/>
      <c r="K33" s="9"/>
      <c r="L33" s="7"/>
      <c r="M33" s="20">
        <v>100</v>
      </c>
      <c r="N33" s="20">
        <v>0.01</v>
      </c>
      <c r="O33" s="20">
        <f>AA17</f>
        <v>0.54600000000000004</v>
      </c>
      <c r="P33" s="20">
        <f>0.5*(AA17-AA18)</f>
        <v>0.13650000000000001</v>
      </c>
      <c r="Q33" s="20">
        <f>P32+AA18</f>
        <v>0.40950000000000003</v>
      </c>
      <c r="R33" s="20">
        <f>Z27</f>
        <v>0.27300000000000002</v>
      </c>
      <c r="S33" s="8"/>
      <c r="T33" s="8"/>
      <c r="U33" s="8"/>
      <c r="V33" s="8"/>
      <c r="W33" s="8"/>
      <c r="X33" s="46" t="s">
        <v>36</v>
      </c>
      <c r="Y33" s="57"/>
      <c r="Z33" s="47">
        <f>IF(Z31&lt;0,0,IF(Z31&lt;AA18,Z32*AA18,PI()*AA18))</f>
        <v>0.42882739721500679</v>
      </c>
      <c r="AA33" s="47" t="s">
        <v>12</v>
      </c>
      <c r="AB33" s="48"/>
      <c r="AC33" s="11"/>
      <c r="AD33" s="11"/>
      <c r="AE33" s="11"/>
      <c r="AF33" s="11"/>
      <c r="AG33" s="15"/>
    </row>
    <row r="34" spans="1:37">
      <c r="A34" s="188" t="s">
        <v>138</v>
      </c>
      <c r="B34" s="216" t="s">
        <v>0</v>
      </c>
      <c r="C34" s="261">
        <f>C18+C33/4.18/(C19/3.6)</f>
        <v>66.799043062200951</v>
      </c>
      <c r="D34" s="213">
        <f>D18+D33/4.18/(D19/3.6)</f>
        <v>83.344497607655512</v>
      </c>
      <c r="E34" s="199" t="str">
        <f>IF(OR(C34&gt;100,D34&gt;100),"!!!!  TOO HIGH WATER TEMPERATURE  !!!!","ok")</f>
        <v>ok</v>
      </c>
      <c r="F34" s="122"/>
      <c r="G34" s="35"/>
      <c r="H34" s="35"/>
      <c r="K34" s="9"/>
      <c r="L34" s="7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11"/>
      <c r="Y34" s="11"/>
      <c r="Z34" s="11"/>
      <c r="AA34" s="11"/>
      <c r="AB34" s="11"/>
      <c r="AC34" s="11"/>
      <c r="AD34" s="11"/>
      <c r="AE34" s="11"/>
      <c r="AF34" s="11"/>
      <c r="AG34" s="15"/>
    </row>
    <row r="35" spans="1:37">
      <c r="A35" s="188" t="s">
        <v>6</v>
      </c>
      <c r="B35" s="216" t="s">
        <v>0</v>
      </c>
      <c r="C35" s="261">
        <f>((C14-C34)-(C15-C18))/LN((C14-C34)/(C15-C18))</f>
        <v>236.17448383293961</v>
      </c>
      <c r="D35" s="213">
        <f>((D14-D34)-(D15-D18))/LN((D14-D34)/(D15-D18))</f>
        <v>245.15837806820122</v>
      </c>
      <c r="E35" s="199" t="s">
        <v>147</v>
      </c>
      <c r="F35" s="122"/>
      <c r="G35" s="35"/>
      <c r="H35" s="35"/>
      <c r="K35" s="9"/>
      <c r="L35" s="7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11"/>
      <c r="Y35" s="11"/>
      <c r="Z35" s="11"/>
      <c r="AA35" s="11"/>
      <c r="AB35" s="11"/>
      <c r="AC35" s="11"/>
      <c r="AD35" s="11"/>
      <c r="AE35" s="11"/>
      <c r="AF35" s="11"/>
      <c r="AG35" s="15"/>
    </row>
    <row r="36" spans="1:37">
      <c r="A36" s="188" t="s">
        <v>139</v>
      </c>
      <c r="B36" s="207" t="s">
        <v>14</v>
      </c>
      <c r="C36" s="261">
        <f>C33*1000/C35</f>
        <v>513.74446284027738</v>
      </c>
      <c r="D36" s="213">
        <f>D33*1000/D35</f>
        <v>690.82326472235081</v>
      </c>
      <c r="E36" s="209" t="s">
        <v>146</v>
      </c>
      <c r="F36" s="122"/>
      <c r="G36" s="35"/>
      <c r="H36" s="35"/>
      <c r="K36" s="9"/>
      <c r="L36" s="7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11"/>
      <c r="Y36" s="11"/>
      <c r="Z36" s="11"/>
      <c r="AA36" s="11"/>
      <c r="AB36" s="11"/>
      <c r="AC36" s="11"/>
      <c r="AD36" s="11"/>
      <c r="AE36" s="11"/>
      <c r="AF36" s="11"/>
      <c r="AG36" s="15"/>
    </row>
    <row r="37" spans="1:37" s="3" customFormat="1">
      <c r="A37" s="188"/>
      <c r="B37" s="207"/>
      <c r="C37" s="188"/>
      <c r="D37" s="212"/>
      <c r="E37" s="199"/>
      <c r="F37" s="122"/>
      <c r="G37" s="35"/>
      <c r="H37" s="35"/>
      <c r="K37" s="9"/>
      <c r="L37" s="7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11"/>
      <c r="Y37" s="11"/>
      <c r="Z37" s="11"/>
      <c r="AA37" s="11"/>
      <c r="AB37" s="11"/>
      <c r="AC37" s="11"/>
      <c r="AD37" s="11"/>
      <c r="AE37" s="11"/>
      <c r="AF37" s="11"/>
      <c r="AG37" s="15"/>
    </row>
    <row r="38" spans="1:37" s="3" customFormat="1">
      <c r="A38" s="188" t="s">
        <v>142</v>
      </c>
      <c r="B38" s="207"/>
      <c r="C38" s="188"/>
      <c r="D38" s="266"/>
      <c r="E38" s="199"/>
      <c r="F38" s="122"/>
      <c r="G38" s="35"/>
      <c r="H38" s="35"/>
      <c r="K38" s="9"/>
      <c r="L38" s="19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1"/>
      <c r="Y38" s="21"/>
      <c r="Z38" s="21"/>
      <c r="AA38" s="21"/>
      <c r="AB38" s="21"/>
      <c r="AC38" s="21"/>
      <c r="AD38" s="21"/>
      <c r="AE38" s="21"/>
      <c r="AF38" s="21"/>
      <c r="AG38" s="22"/>
    </row>
    <row r="39" spans="1:37" s="3" customFormat="1">
      <c r="A39" s="188" t="s">
        <v>143</v>
      </c>
      <c r="B39" s="214" t="s">
        <v>9</v>
      </c>
      <c r="C39" s="259">
        <v>2</v>
      </c>
      <c r="D39" s="208">
        <v>2</v>
      </c>
      <c r="E39" s="199" t="str">
        <f>IF(AND(OR(C39=0,C39=1,C39=2),OR(D39=0,D39=1,D39=2)),"ok","!!!!!!!!!!!!!! kies 0, 1 of 2 !!!!!!!!!!!")</f>
        <v>ok</v>
      </c>
      <c r="F39" s="122"/>
      <c r="G39" s="35"/>
      <c r="H39" s="35"/>
      <c r="K39" s="9"/>
      <c r="L39" s="19" t="s">
        <v>17</v>
      </c>
      <c r="M39" s="20">
        <v>0</v>
      </c>
      <c r="N39" s="20">
        <f t="shared" ref="N39:AF39" si="1">M39+$AA$17/20</f>
        <v>2.7300000000000001E-2</v>
      </c>
      <c r="O39" s="20">
        <f t="shared" si="1"/>
        <v>5.4600000000000003E-2</v>
      </c>
      <c r="P39" s="20">
        <f t="shared" si="1"/>
        <v>8.1900000000000001E-2</v>
      </c>
      <c r="Q39" s="20">
        <f t="shared" si="1"/>
        <v>0.10920000000000001</v>
      </c>
      <c r="R39" s="20">
        <f t="shared" si="1"/>
        <v>0.13650000000000001</v>
      </c>
      <c r="S39" s="20">
        <f t="shared" si="1"/>
        <v>0.1638</v>
      </c>
      <c r="T39" s="20">
        <f t="shared" si="1"/>
        <v>0.19109999999999999</v>
      </c>
      <c r="U39" s="20">
        <f t="shared" si="1"/>
        <v>0.21839999999999998</v>
      </c>
      <c r="V39" s="20">
        <f t="shared" si="1"/>
        <v>0.24569999999999997</v>
      </c>
      <c r="W39" s="20">
        <f t="shared" si="1"/>
        <v>0.27299999999999996</v>
      </c>
      <c r="X39" s="20">
        <f t="shared" si="1"/>
        <v>0.30029999999999996</v>
      </c>
      <c r="Y39" s="20">
        <f t="shared" si="1"/>
        <v>0.32759999999999995</v>
      </c>
      <c r="Z39" s="20">
        <f t="shared" si="1"/>
        <v>0.35489999999999994</v>
      </c>
      <c r="AA39" s="20">
        <f t="shared" si="1"/>
        <v>0.38219999999999993</v>
      </c>
      <c r="AB39" s="20">
        <f t="shared" si="1"/>
        <v>0.40949999999999992</v>
      </c>
      <c r="AC39" s="20">
        <f t="shared" si="1"/>
        <v>0.43679999999999991</v>
      </c>
      <c r="AD39" s="20">
        <f t="shared" si="1"/>
        <v>0.4640999999999999</v>
      </c>
      <c r="AE39" s="20">
        <f t="shared" si="1"/>
        <v>0.49139999999999989</v>
      </c>
      <c r="AF39" s="20">
        <f t="shared" si="1"/>
        <v>0.51869999999999994</v>
      </c>
      <c r="AG39" s="23">
        <f>AA17</f>
        <v>0.54600000000000004</v>
      </c>
    </row>
    <row r="40" spans="1:37" s="3" customFormat="1">
      <c r="A40" s="215"/>
      <c r="B40" s="216"/>
      <c r="C40" s="215"/>
      <c r="D40" s="217"/>
      <c r="E40" s="178"/>
      <c r="G40" s="35"/>
      <c r="H40" s="35"/>
      <c r="K40" s="9"/>
      <c r="L40" s="24" t="s">
        <v>18</v>
      </c>
      <c r="M40" s="20">
        <f t="shared" ref="M40:AG40" si="2">M39-(0.5*$AA$17-0.5*$AA$18)</f>
        <v>-0.13650000000000001</v>
      </c>
      <c r="N40" s="20">
        <f t="shared" si="2"/>
        <v>-0.10920000000000001</v>
      </c>
      <c r="O40" s="20">
        <f t="shared" si="2"/>
        <v>-8.1900000000000001E-2</v>
      </c>
      <c r="P40" s="20">
        <f t="shared" si="2"/>
        <v>-5.460000000000001E-2</v>
      </c>
      <c r="Q40" s="20">
        <f t="shared" si="2"/>
        <v>-2.7300000000000005E-2</v>
      </c>
      <c r="R40" s="20">
        <f t="shared" si="2"/>
        <v>0</v>
      </c>
      <c r="S40" s="20">
        <f t="shared" si="2"/>
        <v>2.7299999999999991E-2</v>
      </c>
      <c r="T40" s="20">
        <f t="shared" si="2"/>
        <v>5.4599999999999982E-2</v>
      </c>
      <c r="U40" s="20">
        <f t="shared" si="2"/>
        <v>8.1899999999999973E-2</v>
      </c>
      <c r="V40" s="20">
        <f t="shared" si="2"/>
        <v>0.10919999999999996</v>
      </c>
      <c r="W40" s="20">
        <f t="shared" si="2"/>
        <v>0.13649999999999995</v>
      </c>
      <c r="X40" s="20">
        <f t="shared" si="2"/>
        <v>0.16379999999999995</v>
      </c>
      <c r="Y40" s="20">
        <f t="shared" si="2"/>
        <v>0.19109999999999994</v>
      </c>
      <c r="Z40" s="20">
        <f t="shared" si="2"/>
        <v>0.21839999999999993</v>
      </c>
      <c r="AA40" s="20">
        <f t="shared" si="2"/>
        <v>0.24569999999999992</v>
      </c>
      <c r="AB40" s="20">
        <f t="shared" si="2"/>
        <v>0.27299999999999991</v>
      </c>
      <c r="AC40" s="20">
        <f t="shared" si="2"/>
        <v>0.3002999999999999</v>
      </c>
      <c r="AD40" s="20">
        <f t="shared" si="2"/>
        <v>0.32759999999999989</v>
      </c>
      <c r="AE40" s="20">
        <f t="shared" si="2"/>
        <v>0.35489999999999988</v>
      </c>
      <c r="AF40" s="20">
        <f t="shared" si="2"/>
        <v>0.38219999999999993</v>
      </c>
      <c r="AG40" s="23">
        <f t="shared" si="2"/>
        <v>0.40950000000000003</v>
      </c>
    </row>
    <row r="41" spans="1:37" s="3" customFormat="1">
      <c r="A41" s="218" t="s">
        <v>144</v>
      </c>
      <c r="B41" s="219" t="s">
        <v>13</v>
      </c>
      <c r="C41" s="262">
        <v>30</v>
      </c>
      <c r="D41" s="220">
        <v>30</v>
      </c>
      <c r="E41" s="199" t="s">
        <v>45</v>
      </c>
      <c r="F41" s="122"/>
      <c r="G41" s="35"/>
      <c r="H41" s="35"/>
      <c r="K41" s="9"/>
      <c r="L41" s="19" t="s">
        <v>19</v>
      </c>
      <c r="M41" s="20">
        <f t="shared" ref="M41:AG41" si="3">ACOS(1-M39/(0.5*$AA$17))</f>
        <v>0</v>
      </c>
      <c r="N41" s="20">
        <f t="shared" si="3"/>
        <v>0.45102681179626236</v>
      </c>
      <c r="O41" s="20">
        <f t="shared" si="3"/>
        <v>0.64350110879328426</v>
      </c>
      <c r="P41" s="20">
        <f t="shared" si="3"/>
        <v>0.79539883018414348</v>
      </c>
      <c r="Q41" s="20">
        <f t="shared" si="3"/>
        <v>0.92729521800161208</v>
      </c>
      <c r="R41" s="20">
        <f t="shared" si="3"/>
        <v>1.0471975511965976</v>
      </c>
      <c r="S41" s="20">
        <f t="shared" si="3"/>
        <v>1.1592794807274085</v>
      </c>
      <c r="T41" s="20">
        <f t="shared" si="3"/>
        <v>1.266103672779499</v>
      </c>
      <c r="U41" s="20">
        <f t="shared" si="3"/>
        <v>1.3694384060045657</v>
      </c>
      <c r="V41" s="20">
        <f t="shared" si="3"/>
        <v>1.4706289056333366</v>
      </c>
      <c r="W41" s="20">
        <f t="shared" si="3"/>
        <v>1.5707963267948963</v>
      </c>
      <c r="X41" s="20">
        <f t="shared" si="3"/>
        <v>1.6709637479564563</v>
      </c>
      <c r="Y41" s="20">
        <f t="shared" si="3"/>
        <v>1.772154247585227</v>
      </c>
      <c r="Z41" s="20">
        <f t="shared" si="3"/>
        <v>1.8754889808102937</v>
      </c>
      <c r="AA41" s="20">
        <f t="shared" si="3"/>
        <v>1.9823131728623842</v>
      </c>
      <c r="AB41" s="20">
        <f t="shared" si="3"/>
        <v>2.0943951023931948</v>
      </c>
      <c r="AC41" s="20">
        <f t="shared" si="3"/>
        <v>2.2142974355881804</v>
      </c>
      <c r="AD41" s="20">
        <f t="shared" si="3"/>
        <v>2.346193823405649</v>
      </c>
      <c r="AE41" s="20">
        <f t="shared" si="3"/>
        <v>2.498091544796508</v>
      </c>
      <c r="AF41" s="20">
        <f t="shared" si="3"/>
        <v>2.6905658417935303</v>
      </c>
      <c r="AG41" s="23">
        <f t="shared" si="3"/>
        <v>3.1415926535897931</v>
      </c>
    </row>
    <row r="42" spans="1:37" s="3" customFormat="1">
      <c r="A42" s="188" t="s">
        <v>145</v>
      </c>
      <c r="B42" s="207" t="s">
        <v>12</v>
      </c>
      <c r="C42" s="261">
        <f>C36/C41</f>
        <v>17.124815428009246</v>
      </c>
      <c r="D42" s="213">
        <f>D36/D41</f>
        <v>23.027442157411695</v>
      </c>
      <c r="E42" s="209"/>
      <c r="F42" s="122"/>
      <c r="G42" s="35"/>
      <c r="H42" s="35"/>
      <c r="K42" s="9"/>
      <c r="L42" s="19" t="s">
        <v>25</v>
      </c>
      <c r="M42" s="20" t="e">
        <f t="shared" ref="M42:AG42" si="4">ACOS(1-M40/(0.5*$AA$18))</f>
        <v>#NUM!</v>
      </c>
      <c r="N42" s="20" t="e">
        <f t="shared" si="4"/>
        <v>#NUM!</v>
      </c>
      <c r="O42" s="20" t="e">
        <f t="shared" si="4"/>
        <v>#NUM!</v>
      </c>
      <c r="P42" s="20" t="e">
        <f t="shared" si="4"/>
        <v>#NUM!</v>
      </c>
      <c r="Q42" s="20" t="e">
        <f t="shared" si="4"/>
        <v>#NUM!</v>
      </c>
      <c r="R42" s="20">
        <f t="shared" si="4"/>
        <v>0</v>
      </c>
      <c r="S42" s="20">
        <f t="shared" si="4"/>
        <v>0.64350110879328426</v>
      </c>
      <c r="T42" s="20">
        <f t="shared" si="4"/>
        <v>0.92729521800161208</v>
      </c>
      <c r="U42" s="20">
        <f t="shared" si="4"/>
        <v>1.1592794807274083</v>
      </c>
      <c r="V42" s="20">
        <f t="shared" si="4"/>
        <v>1.3694384060045655</v>
      </c>
      <c r="W42" s="20">
        <f t="shared" si="4"/>
        <v>1.5707963267948961</v>
      </c>
      <c r="X42" s="20">
        <f t="shared" si="4"/>
        <v>1.772154247585227</v>
      </c>
      <c r="Y42" s="20">
        <f t="shared" si="4"/>
        <v>1.982313172862384</v>
      </c>
      <c r="Z42" s="20">
        <f t="shared" si="4"/>
        <v>2.2142974355881804</v>
      </c>
      <c r="AA42" s="20">
        <f t="shared" si="4"/>
        <v>2.498091544796508</v>
      </c>
      <c r="AB42" s="20">
        <f t="shared" si="4"/>
        <v>3.1415926114429444</v>
      </c>
      <c r="AC42" s="20" t="e">
        <f t="shared" si="4"/>
        <v>#NUM!</v>
      </c>
      <c r="AD42" s="20" t="e">
        <f t="shared" si="4"/>
        <v>#NUM!</v>
      </c>
      <c r="AE42" s="20" t="e">
        <f t="shared" si="4"/>
        <v>#NUM!</v>
      </c>
      <c r="AF42" s="20" t="e">
        <f t="shared" si="4"/>
        <v>#NUM!</v>
      </c>
      <c r="AG42" s="23" t="e">
        <f t="shared" si="4"/>
        <v>#NUM!</v>
      </c>
      <c r="AH42" s="37"/>
    </row>
    <row r="43" spans="1:37" s="3" customFormat="1">
      <c r="A43" s="188" t="s">
        <v>153</v>
      </c>
      <c r="B43" s="207" t="s">
        <v>12</v>
      </c>
      <c r="C43" s="263">
        <f>C23*Z29</f>
        <v>0.85765479443001358</v>
      </c>
      <c r="D43" s="221">
        <f>C43</f>
        <v>0.85765479443001358</v>
      </c>
      <c r="E43" s="199" t="s">
        <v>150</v>
      </c>
      <c r="F43" s="122"/>
      <c r="G43" s="35"/>
      <c r="H43" s="35"/>
      <c r="J43" s="107"/>
      <c r="K43" s="5"/>
      <c r="L43" s="19" t="s">
        <v>21</v>
      </c>
      <c r="M43" s="20">
        <f t="shared" ref="M43:AG43" si="5">M41*0.25*$AA$17*$AA$17-(0.5*$AA$17-M39)*(($AA$17*M39-M39*M39)^0.5)</f>
        <v>0</v>
      </c>
      <c r="N43" s="20">
        <f t="shared" si="5"/>
        <v>4.3767831136807857E-3</v>
      </c>
      <c r="O43" s="20">
        <f t="shared" si="5"/>
        <v>1.2185574137254691E-2</v>
      </c>
      <c r="P43" s="20">
        <f t="shared" si="5"/>
        <v>2.2023233060233127E-2</v>
      </c>
      <c r="Q43" s="20">
        <f t="shared" si="5"/>
        <v>3.3336465302442164E-2</v>
      </c>
      <c r="R43" s="20">
        <f t="shared" si="5"/>
        <v>4.5774582633806009E-2</v>
      </c>
      <c r="S43" s="20">
        <f t="shared" si="5"/>
        <v>5.9077157701583935E-2</v>
      </c>
      <c r="T43" s="20">
        <f t="shared" si="5"/>
        <v>7.3032600205862233E-2</v>
      </c>
      <c r="U43" s="20">
        <f t="shared" si="5"/>
        <v>8.7458233277923278E-2</v>
      </c>
      <c r="V43" s="20">
        <f t="shared" si="5"/>
        <v>0.10218895983793502</v>
      </c>
      <c r="W43" s="20">
        <f t="shared" si="5"/>
        <v>0.11706987943969684</v>
      </c>
      <c r="X43" s="20">
        <f t="shared" si="5"/>
        <v>0.13195079904145868</v>
      </c>
      <c r="Y43" s="20">
        <f t="shared" si="5"/>
        <v>0.14668152560147038</v>
      </c>
      <c r="Z43" s="20">
        <f t="shared" si="5"/>
        <v>0.16110715867353145</v>
      </c>
      <c r="AA43" s="20">
        <f t="shared" si="5"/>
        <v>0.17506260117780975</v>
      </c>
      <c r="AB43" s="20">
        <f t="shared" si="5"/>
        <v>0.18836517624558763</v>
      </c>
      <c r="AC43" s="20">
        <f t="shared" si="5"/>
        <v>0.20080329357695151</v>
      </c>
      <c r="AD43" s="20">
        <f t="shared" si="5"/>
        <v>0.21211652581916057</v>
      </c>
      <c r="AE43" s="20">
        <f t="shared" si="5"/>
        <v>0.22195418474213896</v>
      </c>
      <c r="AF43" s="20">
        <f t="shared" si="5"/>
        <v>0.22976297576571292</v>
      </c>
      <c r="AG43" s="23">
        <f t="shared" si="5"/>
        <v>0.23413975887939373</v>
      </c>
      <c r="AH43" s="107"/>
      <c r="AI43" s="107"/>
      <c r="AJ43" s="107"/>
      <c r="AK43" s="107"/>
    </row>
    <row r="44" spans="1:37" s="3" customFormat="1">
      <c r="A44" s="188" t="s">
        <v>154</v>
      </c>
      <c r="B44" s="207" t="s">
        <v>12</v>
      </c>
      <c r="C44" s="263">
        <f>C23*Z33*(C26-C28)/C26</f>
        <v>0.39497260269803258</v>
      </c>
      <c r="D44" s="221">
        <f>C44</f>
        <v>0.39497260269803258</v>
      </c>
      <c r="E44" s="199"/>
      <c r="F44" s="122"/>
      <c r="G44" s="35"/>
      <c r="H44" s="35"/>
      <c r="J44" s="107"/>
      <c r="K44" s="5"/>
      <c r="L44" s="19" t="s">
        <v>22</v>
      </c>
      <c r="M44" s="20">
        <f t="shared" ref="M44:AG44" si="6">IF(M40&lt;=0,0,IF(M40&gt;=$AA$18,0.25*PI()*$AA$18*$AA$18,M42*0.25*$AA$18*$AA$18-(0.5*$AA$18-M40)*(($AA$18*M40-M40*M40)^0.5)))</f>
        <v>0</v>
      </c>
      <c r="N44" s="20">
        <f t="shared" si="6"/>
        <v>0</v>
      </c>
      <c r="O44" s="20">
        <f t="shared" si="6"/>
        <v>0</v>
      </c>
      <c r="P44" s="20">
        <f t="shared" si="6"/>
        <v>0</v>
      </c>
      <c r="Q44" s="20">
        <f t="shared" si="6"/>
        <v>0</v>
      </c>
      <c r="R44" s="20">
        <f t="shared" si="6"/>
        <v>0</v>
      </c>
      <c r="S44" s="20">
        <f t="shared" si="6"/>
        <v>3.0463935343136711E-3</v>
      </c>
      <c r="T44" s="20">
        <f t="shared" si="6"/>
        <v>8.3341163256105393E-3</v>
      </c>
      <c r="U44" s="20">
        <f t="shared" si="6"/>
        <v>1.4769289425395973E-2</v>
      </c>
      <c r="V44" s="20">
        <f t="shared" si="6"/>
        <v>2.1864558319480813E-2</v>
      </c>
      <c r="W44" s="20">
        <f t="shared" si="6"/>
        <v>2.9267469859924202E-2</v>
      </c>
      <c r="X44" s="20">
        <f t="shared" si="6"/>
        <v>3.6670381400367595E-2</v>
      </c>
      <c r="Y44" s="20">
        <f t="shared" si="6"/>
        <v>4.3765650294452431E-2</v>
      </c>
      <c r="Z44" s="20">
        <f t="shared" si="6"/>
        <v>5.0200823394237884E-2</v>
      </c>
      <c r="AA44" s="20">
        <f t="shared" si="6"/>
        <v>5.5488546185534754E-2</v>
      </c>
      <c r="AB44" s="20">
        <f t="shared" si="6"/>
        <v>5.8534939719848432E-2</v>
      </c>
      <c r="AC44" s="20">
        <f t="shared" si="6"/>
        <v>5.8534939719848432E-2</v>
      </c>
      <c r="AD44" s="20">
        <f t="shared" si="6"/>
        <v>5.8534939719848432E-2</v>
      </c>
      <c r="AE44" s="20">
        <f t="shared" si="6"/>
        <v>5.8534939719848432E-2</v>
      </c>
      <c r="AF44" s="20">
        <f t="shared" si="6"/>
        <v>5.8534939719848432E-2</v>
      </c>
      <c r="AG44" s="23">
        <f t="shared" si="6"/>
        <v>5.8534939719848432E-2</v>
      </c>
      <c r="AH44" s="107"/>
      <c r="AI44" s="107"/>
      <c r="AJ44" s="107"/>
      <c r="AK44" s="107"/>
    </row>
    <row r="45" spans="1:37">
      <c r="A45" s="188" t="s">
        <v>155</v>
      </c>
      <c r="B45" s="207" t="s">
        <v>12</v>
      </c>
      <c r="C45" s="263">
        <f>C27*C23*2*0.25*PI()*((C25+2*C30)^2-C25^2)/C26</f>
        <v>1.7413269364412036</v>
      </c>
      <c r="D45" s="221">
        <f>D27*D23*2*0.25*PI()*((D25+2*D30)^2-D25^2)/D26</f>
        <v>1.7413269364412036</v>
      </c>
      <c r="E45" s="199" t="s">
        <v>151</v>
      </c>
      <c r="F45" s="122"/>
      <c r="G45" s="35"/>
      <c r="H45" s="35"/>
      <c r="J45" s="107"/>
      <c r="K45" s="5"/>
      <c r="L45" s="19" t="s">
        <v>23</v>
      </c>
      <c r="M45" s="20">
        <f t="shared" ref="M45:W45" si="7">M43-M44</f>
        <v>0</v>
      </c>
      <c r="N45" s="20">
        <f>N43-N44</f>
        <v>4.3767831136807857E-3</v>
      </c>
      <c r="O45" s="20">
        <f t="shared" si="7"/>
        <v>1.2185574137254691E-2</v>
      </c>
      <c r="P45" s="20">
        <f t="shared" si="7"/>
        <v>2.2023233060233127E-2</v>
      </c>
      <c r="Q45" s="20">
        <f t="shared" si="7"/>
        <v>3.3336465302442164E-2</v>
      </c>
      <c r="R45" s="20">
        <f t="shared" si="7"/>
        <v>4.5774582633806009E-2</v>
      </c>
      <c r="S45" s="20">
        <f t="shared" si="7"/>
        <v>5.6030764167270264E-2</v>
      </c>
      <c r="T45" s="20">
        <f t="shared" si="7"/>
        <v>6.4698483880251692E-2</v>
      </c>
      <c r="U45" s="20">
        <f t="shared" si="7"/>
        <v>7.2688943852527305E-2</v>
      </c>
      <c r="V45" s="20">
        <f t="shared" si="7"/>
        <v>8.0324401518454214E-2</v>
      </c>
      <c r="W45" s="20">
        <f t="shared" si="7"/>
        <v>8.7802409579772631E-2</v>
      </c>
      <c r="X45" s="20">
        <f t="shared" ref="X45:AG45" si="8">X43-X44</f>
        <v>9.5280417641091075E-2</v>
      </c>
      <c r="Y45" s="20">
        <f t="shared" si="8"/>
        <v>0.10291587530701796</v>
      </c>
      <c r="Z45" s="20">
        <f t="shared" si="8"/>
        <v>0.11090633527929357</v>
      </c>
      <c r="AA45" s="20">
        <f t="shared" si="8"/>
        <v>0.119574054992275</v>
      </c>
      <c r="AB45" s="20">
        <f t="shared" si="8"/>
        <v>0.12983023652573919</v>
      </c>
      <c r="AC45" s="20">
        <f t="shared" si="8"/>
        <v>0.14226835385710307</v>
      </c>
      <c r="AD45" s="20">
        <f t="shared" si="8"/>
        <v>0.15358158609931213</v>
      </c>
      <c r="AE45" s="20">
        <f t="shared" si="8"/>
        <v>0.16341924502229052</v>
      </c>
      <c r="AF45" s="20">
        <f t="shared" si="8"/>
        <v>0.17122803604586448</v>
      </c>
      <c r="AG45" s="23">
        <f t="shared" si="8"/>
        <v>0.17560481915954529</v>
      </c>
      <c r="AH45" s="107"/>
      <c r="AI45" s="107"/>
      <c r="AJ45" s="107"/>
      <c r="AK45" s="107"/>
    </row>
    <row r="46" spans="1:37">
      <c r="A46" s="188" t="s">
        <v>173</v>
      </c>
      <c r="B46" s="214" t="s">
        <v>9</v>
      </c>
      <c r="C46" s="261">
        <f>C30*(C41/(C32*0.5*C28))^0.5</f>
        <v>2.0633861732598677</v>
      </c>
      <c r="D46" s="213">
        <f>D30*(D41/(D32*0.5*D28))^0.5</f>
        <v>2.0633861732598677</v>
      </c>
      <c r="E46" s="199"/>
      <c r="F46" s="122"/>
      <c r="G46" s="35"/>
      <c r="H46" s="35"/>
      <c r="J46" s="107"/>
      <c r="K46" s="5"/>
      <c r="L46" s="19" t="s">
        <v>24</v>
      </c>
      <c r="M46" s="20">
        <f t="shared" ref="M46:AG46" si="9">100*M45/$AA$19</f>
        <v>0</v>
      </c>
      <c r="N46" s="20">
        <f t="shared" si="9"/>
        <v>2.4924048978999096</v>
      </c>
      <c r="O46" s="20">
        <f t="shared" si="9"/>
        <v>6.9392025774551893</v>
      </c>
      <c r="P46" s="20">
        <f t="shared" si="9"/>
        <v>12.541360291612486</v>
      </c>
      <c r="Q46" s="20">
        <f t="shared" si="9"/>
        <v>18.983798657686272</v>
      </c>
      <c r="R46" s="20">
        <f t="shared" si="9"/>
        <v>26.066814597051369</v>
      </c>
      <c r="S46" s="20">
        <f t="shared" si="9"/>
        <v>31.907304386882263</v>
      </c>
      <c r="T46" s="20">
        <f t="shared" si="9"/>
        <v>36.843227987649961</v>
      </c>
      <c r="U46" s="20">
        <f t="shared" si="9"/>
        <v>41.393478949165946</v>
      </c>
      <c r="V46" s="20">
        <f t="shared" si="9"/>
        <v>45.741570136224844</v>
      </c>
      <c r="W46" s="20">
        <f t="shared" si="9"/>
        <v>49.999999999999993</v>
      </c>
      <c r="X46" s="20">
        <f t="shared" si="9"/>
        <v>54.258429863775163</v>
      </c>
      <c r="Y46" s="20">
        <f t="shared" si="9"/>
        <v>58.60652105083404</v>
      </c>
      <c r="Z46" s="20">
        <f t="shared" si="9"/>
        <v>63.156772012350025</v>
      </c>
      <c r="AA46" s="20">
        <f t="shared" si="9"/>
        <v>68.092695613117712</v>
      </c>
      <c r="AB46" s="20">
        <f t="shared" si="9"/>
        <v>73.933185402948581</v>
      </c>
      <c r="AC46" s="20">
        <f t="shared" si="9"/>
        <v>81.016201342313707</v>
      </c>
      <c r="AD46" s="20">
        <f t="shared" si="9"/>
        <v>87.458639708387494</v>
      </c>
      <c r="AE46" s="20">
        <f t="shared" si="9"/>
        <v>93.060797422544766</v>
      </c>
      <c r="AF46" s="20">
        <f t="shared" si="9"/>
        <v>97.507595102100069</v>
      </c>
      <c r="AG46" s="23">
        <f t="shared" si="9"/>
        <v>100</v>
      </c>
      <c r="AH46" s="107"/>
      <c r="AI46" s="107"/>
      <c r="AJ46" s="107"/>
      <c r="AK46" s="107"/>
    </row>
    <row r="47" spans="1:37">
      <c r="A47" s="188" t="s">
        <v>172</v>
      </c>
      <c r="B47" s="207" t="s">
        <v>9</v>
      </c>
      <c r="C47" s="258">
        <f>1+0.35*LN((C24/2-C29/1000)/(C25/2))</f>
        <v>1.2348234153213322</v>
      </c>
      <c r="D47" s="267">
        <f>1+0.35*LN((D24/2-D29/1000)/(D25/2))</f>
        <v>1.2348234153213322</v>
      </c>
      <c r="E47" s="268" t="s">
        <v>174</v>
      </c>
      <c r="F47" s="122"/>
      <c r="G47" s="35"/>
      <c r="H47" s="35"/>
      <c r="J47" s="107"/>
      <c r="K47" s="5"/>
      <c r="L47" s="19"/>
      <c r="M47" s="20">
        <f t="shared" ref="M47:W47" si="10">M39</f>
        <v>0</v>
      </c>
      <c r="N47" s="20">
        <f t="shared" si="10"/>
        <v>2.7300000000000001E-2</v>
      </c>
      <c r="O47" s="20">
        <f t="shared" si="10"/>
        <v>5.4600000000000003E-2</v>
      </c>
      <c r="P47" s="20">
        <f t="shared" si="10"/>
        <v>8.1900000000000001E-2</v>
      </c>
      <c r="Q47" s="20">
        <f t="shared" si="10"/>
        <v>0.10920000000000001</v>
      </c>
      <c r="R47" s="20">
        <f t="shared" si="10"/>
        <v>0.13650000000000001</v>
      </c>
      <c r="S47" s="20">
        <f t="shared" si="10"/>
        <v>0.1638</v>
      </c>
      <c r="T47" s="20">
        <f t="shared" si="10"/>
        <v>0.19109999999999999</v>
      </c>
      <c r="U47" s="20">
        <f t="shared" si="10"/>
        <v>0.21839999999999998</v>
      </c>
      <c r="V47" s="20">
        <f t="shared" si="10"/>
        <v>0.24569999999999997</v>
      </c>
      <c r="W47" s="20">
        <f t="shared" si="10"/>
        <v>0.27299999999999996</v>
      </c>
      <c r="X47" s="20">
        <f t="shared" ref="X47:AG47" si="11">X39</f>
        <v>0.30029999999999996</v>
      </c>
      <c r="Y47" s="20">
        <f t="shared" si="11"/>
        <v>0.32759999999999995</v>
      </c>
      <c r="Z47" s="20">
        <f t="shared" si="11"/>
        <v>0.35489999999999994</v>
      </c>
      <c r="AA47" s="20">
        <f t="shared" si="11"/>
        <v>0.38219999999999993</v>
      </c>
      <c r="AB47" s="20">
        <f t="shared" si="11"/>
        <v>0.40949999999999992</v>
      </c>
      <c r="AC47" s="20">
        <f t="shared" si="11"/>
        <v>0.43679999999999991</v>
      </c>
      <c r="AD47" s="20">
        <f t="shared" si="11"/>
        <v>0.4640999999999999</v>
      </c>
      <c r="AE47" s="20">
        <f t="shared" si="11"/>
        <v>0.49139999999999989</v>
      </c>
      <c r="AF47" s="20">
        <f t="shared" si="11"/>
        <v>0.51869999999999994</v>
      </c>
      <c r="AG47" s="23">
        <f t="shared" si="11"/>
        <v>0.54600000000000004</v>
      </c>
      <c r="AH47" s="107"/>
      <c r="AI47" s="107"/>
      <c r="AJ47" s="107"/>
      <c r="AK47" s="107"/>
    </row>
    <row r="48" spans="1:37">
      <c r="A48" s="188" t="s">
        <v>156</v>
      </c>
      <c r="B48" s="214" t="s">
        <v>9</v>
      </c>
      <c r="C48" s="263">
        <f>TANH(C46*C47)/(C46*C47)</f>
        <v>0.38770097501644524</v>
      </c>
      <c r="D48" s="221">
        <f>TANH(D46*D47)/(D46*D47)</f>
        <v>0.38770097501644524</v>
      </c>
      <c r="E48" s="3"/>
      <c r="F48" s="122"/>
      <c r="J48" s="107"/>
      <c r="K48" s="5"/>
      <c r="L48" s="19"/>
      <c r="M48" s="20">
        <f>M40</f>
        <v>-0.13650000000000001</v>
      </c>
      <c r="N48" s="20">
        <f t="shared" ref="N48:AG48" si="12">N40</f>
        <v>-0.10920000000000001</v>
      </c>
      <c r="O48" s="20">
        <f t="shared" si="12"/>
        <v>-8.1900000000000001E-2</v>
      </c>
      <c r="P48" s="20">
        <f t="shared" si="12"/>
        <v>-5.460000000000001E-2</v>
      </c>
      <c r="Q48" s="20">
        <f t="shared" si="12"/>
        <v>-2.7300000000000005E-2</v>
      </c>
      <c r="R48" s="20">
        <f t="shared" si="12"/>
        <v>0</v>
      </c>
      <c r="S48" s="20">
        <f t="shared" si="12"/>
        <v>2.7299999999999991E-2</v>
      </c>
      <c r="T48" s="20">
        <f t="shared" si="12"/>
        <v>5.4599999999999982E-2</v>
      </c>
      <c r="U48" s="20">
        <f t="shared" si="12"/>
        <v>8.1899999999999973E-2</v>
      </c>
      <c r="V48" s="20">
        <f t="shared" si="12"/>
        <v>0.10919999999999996</v>
      </c>
      <c r="W48" s="20">
        <f t="shared" si="12"/>
        <v>0.13649999999999995</v>
      </c>
      <c r="X48" s="20">
        <f t="shared" si="12"/>
        <v>0.16379999999999995</v>
      </c>
      <c r="Y48" s="20">
        <f t="shared" si="12"/>
        <v>0.19109999999999994</v>
      </c>
      <c r="Z48" s="20">
        <f t="shared" si="12"/>
        <v>0.21839999999999993</v>
      </c>
      <c r="AA48" s="20">
        <f t="shared" si="12"/>
        <v>0.24569999999999992</v>
      </c>
      <c r="AB48" s="20">
        <f t="shared" si="12"/>
        <v>0.27299999999999991</v>
      </c>
      <c r="AC48" s="20">
        <f t="shared" si="12"/>
        <v>0.3002999999999999</v>
      </c>
      <c r="AD48" s="20">
        <f t="shared" si="12"/>
        <v>0.32759999999999989</v>
      </c>
      <c r="AE48" s="20">
        <f t="shared" si="12"/>
        <v>0.35489999999999988</v>
      </c>
      <c r="AF48" s="20">
        <f t="shared" si="12"/>
        <v>0.38219999999999993</v>
      </c>
      <c r="AG48" s="23">
        <f t="shared" si="12"/>
        <v>0.40950000000000003</v>
      </c>
      <c r="AH48" s="107"/>
      <c r="AI48" s="107"/>
      <c r="AJ48" s="107"/>
      <c r="AK48" s="107"/>
    </row>
    <row r="49" spans="1:37">
      <c r="A49" s="188" t="s">
        <v>157</v>
      </c>
      <c r="B49" s="207" t="s">
        <v>12</v>
      </c>
      <c r="C49" s="263">
        <f>IF(C39=2,C48*C31/100*C45,C39*C31/100*C45)</f>
        <v>0.3375570755403271</v>
      </c>
      <c r="D49" s="221">
        <f>IF(D39=2,D48*D31/100*D45,D39*D31/100*D45)</f>
        <v>0.3375570755403271</v>
      </c>
      <c r="E49" s="199" t="s">
        <v>152</v>
      </c>
      <c r="F49" s="122"/>
      <c r="J49" s="107"/>
      <c r="K49" s="5"/>
      <c r="L49" s="17"/>
      <c r="M49" s="18"/>
      <c r="N49" s="18"/>
      <c r="O49" s="18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60"/>
      <c r="AH49" s="107"/>
      <c r="AI49" s="107"/>
      <c r="AJ49" s="107"/>
      <c r="AK49" s="107"/>
    </row>
    <row r="50" spans="1:37">
      <c r="A50" s="188" t="s">
        <v>158</v>
      </c>
      <c r="B50" s="207" t="s">
        <v>12</v>
      </c>
      <c r="C50" s="263">
        <f>C43+C44+C49</f>
        <v>1.5901844726683732</v>
      </c>
      <c r="D50" s="221">
        <f>D43+D44+D49</f>
        <v>1.5901844726683732</v>
      </c>
      <c r="E50" s="199"/>
      <c r="F50" s="122"/>
      <c r="J50" s="107"/>
      <c r="K50" s="5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  <c r="AI50" s="107"/>
      <c r="AJ50" s="107"/>
      <c r="AK50" s="107"/>
    </row>
    <row r="51" spans="1:37">
      <c r="A51" s="222" t="s">
        <v>163</v>
      </c>
      <c r="B51" s="223" t="s">
        <v>10</v>
      </c>
      <c r="C51" s="264">
        <f>C42/C50</f>
        <v>10.769074734627068</v>
      </c>
      <c r="D51" s="224">
        <f>D42/D50</f>
        <v>14.480987931400824</v>
      </c>
      <c r="E51" s="199"/>
      <c r="F51" s="122"/>
      <c r="J51" s="107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38"/>
      <c r="Y51" s="107"/>
      <c r="Z51" s="38"/>
      <c r="AA51" s="105"/>
      <c r="AB51" s="38"/>
      <c r="AC51" s="38"/>
      <c r="AD51" s="38"/>
      <c r="AE51" s="38"/>
      <c r="AF51" s="38"/>
      <c r="AG51" s="107"/>
      <c r="AH51" s="107"/>
      <c r="AI51" s="107"/>
      <c r="AJ51" s="107"/>
      <c r="AK51" s="107"/>
    </row>
    <row r="52" spans="1:37" s="3" customFormat="1">
      <c r="A52" s="187"/>
      <c r="B52" s="187"/>
      <c r="C52" s="187"/>
      <c r="D52" s="187"/>
      <c r="E52" s="225"/>
      <c r="F52" s="122"/>
      <c r="J52" s="107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36"/>
      <c r="Y52" s="107"/>
      <c r="Z52" s="36"/>
      <c r="AA52" s="36"/>
      <c r="AB52" s="38"/>
      <c r="AC52" s="38"/>
      <c r="AD52" s="38"/>
      <c r="AE52" s="38"/>
      <c r="AF52" s="38"/>
      <c r="AG52" s="107"/>
      <c r="AH52" s="107"/>
      <c r="AI52" s="107"/>
      <c r="AJ52" s="107"/>
      <c r="AK52" s="107"/>
    </row>
    <row r="53" spans="1:37">
      <c r="A53" s="187" t="s">
        <v>15</v>
      </c>
      <c r="B53" s="178"/>
      <c r="C53" s="3"/>
      <c r="D53" s="178"/>
      <c r="E53" s="187"/>
      <c r="F53" s="122"/>
      <c r="J53" s="107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36"/>
      <c r="Y53" s="107"/>
      <c r="Z53" s="36"/>
      <c r="AA53" s="36"/>
      <c r="AB53" s="38"/>
      <c r="AC53" s="38"/>
      <c r="AD53" s="38"/>
      <c r="AE53" s="38"/>
      <c r="AF53" s="38"/>
      <c r="AG53" s="107"/>
      <c r="AH53" s="107"/>
      <c r="AI53" s="107"/>
      <c r="AJ53" s="107"/>
      <c r="AK53" s="107"/>
    </row>
    <row r="54" spans="1:37" s="3" customFormat="1">
      <c r="A54" s="187" t="s">
        <v>8</v>
      </c>
      <c r="B54" s="178"/>
      <c r="C54" s="178"/>
      <c r="D54" s="178"/>
      <c r="E54" s="187"/>
      <c r="F54" s="122"/>
      <c r="H54" s="35"/>
      <c r="J54" s="107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36"/>
      <c r="Y54" s="107"/>
      <c r="Z54" s="36"/>
      <c r="AA54" s="36"/>
      <c r="AB54" s="38"/>
      <c r="AC54" s="38"/>
      <c r="AD54" s="38"/>
      <c r="AE54" s="38"/>
      <c r="AF54" s="38"/>
      <c r="AG54" s="107"/>
      <c r="AH54" s="107"/>
      <c r="AI54" s="107"/>
      <c r="AJ54" s="107"/>
      <c r="AK54" s="107"/>
    </row>
    <row r="55" spans="1:37">
      <c r="A55" s="187" t="s">
        <v>7</v>
      </c>
      <c r="B55" s="178"/>
      <c r="C55" s="178"/>
      <c r="D55" s="178"/>
      <c r="E55" s="187"/>
      <c r="F55" s="124"/>
      <c r="H55" s="35"/>
      <c r="J55" s="107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38"/>
      <c r="Y55" s="107"/>
      <c r="Z55" s="38"/>
      <c r="AA55" s="38"/>
      <c r="AB55" s="38"/>
      <c r="AC55" s="38"/>
      <c r="AD55" s="38"/>
      <c r="AE55" s="38"/>
      <c r="AF55" s="38"/>
      <c r="AG55" s="107"/>
      <c r="AH55" s="107"/>
      <c r="AI55" s="107"/>
      <c r="AJ55" s="107"/>
      <c r="AK55" s="107"/>
    </row>
    <row r="56" spans="1:37">
      <c r="A56" s="187" t="s">
        <v>46</v>
      </c>
      <c r="B56" s="178"/>
      <c r="C56" s="178"/>
      <c r="D56" s="178"/>
      <c r="E56" s="187"/>
      <c r="F56" s="124"/>
      <c r="H56" s="35"/>
      <c r="J56" s="107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38"/>
      <c r="Y56" s="107"/>
      <c r="Z56" s="38"/>
      <c r="AA56" s="38"/>
      <c r="AB56" s="38"/>
      <c r="AC56" s="107"/>
      <c r="AD56" s="107"/>
      <c r="AE56" s="107"/>
      <c r="AF56" s="107"/>
      <c r="AG56" s="107"/>
      <c r="AH56" s="107"/>
      <c r="AI56" s="107"/>
      <c r="AJ56" s="107"/>
      <c r="AK56" s="107"/>
    </row>
    <row r="57" spans="1:37" s="3" customFormat="1">
      <c r="A57" s="187"/>
      <c r="B57" s="178"/>
      <c r="C57" s="178"/>
      <c r="D57" s="178"/>
      <c r="E57" s="187"/>
      <c r="G57" s="104"/>
      <c r="H57" s="104"/>
      <c r="I57" s="5"/>
      <c r="J57" s="9"/>
      <c r="K57" s="9"/>
      <c r="L57" s="65"/>
      <c r="M57" s="38"/>
      <c r="N57" s="38"/>
      <c r="O57" s="5"/>
      <c r="P57" s="5"/>
      <c r="Q57" s="5"/>
      <c r="R57" s="5"/>
      <c r="S57" s="5"/>
      <c r="T57" s="5"/>
      <c r="U57" s="5"/>
      <c r="V57" s="5"/>
      <c r="W57" s="5"/>
      <c r="X57" s="38"/>
      <c r="Y57" s="107"/>
      <c r="Z57" s="38"/>
      <c r="AA57" s="38"/>
      <c r="AB57" s="38"/>
      <c r="AC57" s="107"/>
      <c r="AD57" s="107"/>
      <c r="AE57" s="107"/>
      <c r="AF57" s="107"/>
      <c r="AG57" s="107"/>
      <c r="AH57" s="107"/>
      <c r="AI57" s="107"/>
      <c r="AJ57" s="107"/>
      <c r="AK57" s="107"/>
    </row>
    <row r="58" spans="1:37" s="3" customFormat="1">
      <c r="A58" s="187" t="s">
        <v>16</v>
      </c>
      <c r="B58" s="178"/>
      <c r="C58" s="178"/>
      <c r="D58" s="178"/>
      <c r="E58" s="187"/>
      <c r="F58" s="124"/>
      <c r="G58" s="5"/>
      <c r="H58" s="5"/>
      <c r="I58" s="5"/>
      <c r="J58" s="9"/>
      <c r="K58" s="9"/>
      <c r="L58" s="65"/>
      <c r="M58" s="38"/>
      <c r="N58" s="38"/>
      <c r="O58" s="5"/>
      <c r="P58" s="5"/>
      <c r="Q58" s="5"/>
      <c r="R58" s="5"/>
      <c r="S58" s="5"/>
      <c r="T58" s="5"/>
      <c r="U58" s="5"/>
      <c r="V58" s="5"/>
      <c r="W58" s="5"/>
      <c r="X58" s="38"/>
      <c r="Y58" s="107"/>
      <c r="Z58" s="38"/>
      <c r="AA58" s="38"/>
      <c r="AB58" s="38"/>
      <c r="AC58" s="107"/>
      <c r="AD58" s="107"/>
      <c r="AE58" s="107"/>
      <c r="AF58" s="107"/>
      <c r="AG58" s="107"/>
      <c r="AH58" s="107"/>
      <c r="AI58" s="107"/>
      <c r="AJ58" s="107"/>
      <c r="AK58" s="107"/>
    </row>
    <row r="59" spans="1:37" s="3" customFormat="1">
      <c r="E59" s="187"/>
      <c r="F59" s="124"/>
      <c r="G59" s="67"/>
      <c r="H59" s="67"/>
      <c r="I59" s="5"/>
      <c r="J59" s="9"/>
      <c r="K59" s="9"/>
      <c r="L59" s="65"/>
      <c r="M59" s="38"/>
      <c r="N59" s="38"/>
      <c r="O59" s="5"/>
      <c r="P59" s="5"/>
      <c r="Q59" s="5"/>
      <c r="R59" s="5"/>
      <c r="S59" s="5"/>
      <c r="T59" s="5"/>
      <c r="U59" s="5"/>
      <c r="V59" s="5"/>
      <c r="W59" s="5"/>
      <c r="X59" s="38"/>
      <c r="Y59" s="107"/>
      <c r="Z59" s="38"/>
      <c r="AA59" s="38"/>
      <c r="AB59" s="38"/>
      <c r="AC59" s="107"/>
      <c r="AD59" s="107"/>
      <c r="AE59" s="107"/>
      <c r="AF59" s="107"/>
      <c r="AG59" s="107"/>
      <c r="AH59" s="107"/>
      <c r="AI59" s="107"/>
      <c r="AJ59" s="107"/>
      <c r="AK59" s="107"/>
    </row>
    <row r="60" spans="1:37" s="3" customFormat="1">
      <c r="A60" s="178"/>
      <c r="B60" s="187"/>
      <c r="C60" s="226"/>
      <c r="D60" s="226"/>
      <c r="E60" s="226"/>
      <c r="F60" s="124"/>
      <c r="G60" s="67"/>
      <c r="H60" s="67"/>
      <c r="I60" s="5"/>
      <c r="J60" s="9"/>
      <c r="K60" s="9"/>
      <c r="L60" s="9"/>
      <c r="M60" s="65"/>
      <c r="N60" s="9"/>
      <c r="O60" s="9"/>
      <c r="P60" s="9"/>
      <c r="Q60" s="9"/>
      <c r="R60" s="9"/>
      <c r="S60" s="9"/>
      <c r="T60" s="9"/>
      <c r="U60" s="101"/>
      <c r="V60" s="36"/>
      <c r="W60" s="36"/>
      <c r="X60" s="38"/>
      <c r="Y60" s="38"/>
      <c r="Z60" s="38"/>
      <c r="AA60" s="38"/>
      <c r="AB60" s="5"/>
      <c r="AC60" s="107"/>
      <c r="AD60" s="107"/>
      <c r="AE60" s="107"/>
      <c r="AF60" s="107"/>
      <c r="AG60" s="107"/>
      <c r="AH60" s="107"/>
      <c r="AI60" s="107"/>
      <c r="AJ60" s="107"/>
      <c r="AK60" s="107"/>
    </row>
    <row r="61" spans="1:37" ht="18.75">
      <c r="A61" s="181" t="s">
        <v>72</v>
      </c>
      <c r="B61" s="178"/>
      <c r="C61" s="178"/>
      <c r="D61" s="178"/>
      <c r="E61" s="227"/>
      <c r="F61" s="122"/>
      <c r="G61" s="5"/>
      <c r="H61" s="5"/>
      <c r="I61" s="5"/>
      <c r="J61" s="9"/>
      <c r="K61" s="9"/>
      <c r="L61" s="9"/>
      <c r="M61" s="10"/>
      <c r="N61" s="10"/>
      <c r="O61" s="10"/>
      <c r="P61" s="10"/>
      <c r="Q61" s="10"/>
      <c r="R61" s="10"/>
      <c r="S61" s="66"/>
      <c r="T61" s="66"/>
      <c r="U61" s="65"/>
      <c r="V61" s="36"/>
      <c r="W61" s="36"/>
      <c r="X61" s="5"/>
      <c r="Y61" s="5"/>
      <c r="Z61" s="5"/>
      <c r="AA61" s="5"/>
      <c r="AB61" s="5"/>
      <c r="AC61" s="5"/>
      <c r="AD61" s="5"/>
      <c r="AE61" s="107"/>
      <c r="AF61" s="107"/>
      <c r="AG61" s="107"/>
      <c r="AH61" s="107"/>
      <c r="AI61" s="107"/>
      <c r="AJ61" s="107"/>
      <c r="AK61" s="107"/>
    </row>
    <row r="62" spans="1:37">
      <c r="A62" s="183" t="s">
        <v>159</v>
      </c>
      <c r="B62" s="228" t="s">
        <v>12</v>
      </c>
      <c r="C62" s="229">
        <f>0.25*PI()*(C24^2-C25^2)*(C26/(C27*C28+C26))</f>
        <v>0.16275568605031027</v>
      </c>
      <c r="D62" s="229">
        <f>0.25*PI()*(D24^2-D25^2)*(D26/(D27*D28+D26))</f>
        <v>0.16275568605031027</v>
      </c>
      <c r="E62" s="227"/>
      <c r="F62" s="124"/>
      <c r="G62" s="83"/>
      <c r="H62" s="83"/>
      <c r="I62" s="5"/>
      <c r="J62" s="5"/>
      <c r="K62" s="9"/>
      <c r="L62" s="9"/>
      <c r="M62" s="10"/>
      <c r="N62" s="10"/>
      <c r="O62" s="10"/>
      <c r="P62" s="10"/>
      <c r="Q62" s="10"/>
      <c r="R62" s="10"/>
      <c r="S62" s="10"/>
      <c r="T62" s="10"/>
      <c r="U62" s="65"/>
      <c r="V62" s="36"/>
      <c r="W62" s="36"/>
      <c r="X62" s="5"/>
      <c r="Y62" s="5"/>
      <c r="Z62" s="5"/>
      <c r="AA62" s="5"/>
      <c r="AB62" s="5"/>
      <c r="AC62" s="5"/>
      <c r="AD62" s="5"/>
      <c r="AE62" s="107"/>
      <c r="AF62" s="107"/>
      <c r="AG62" s="107"/>
      <c r="AH62" s="107"/>
      <c r="AI62" s="107"/>
      <c r="AJ62" s="107"/>
      <c r="AK62" s="107"/>
    </row>
    <row r="63" spans="1:37">
      <c r="A63" s="188" t="s">
        <v>160</v>
      </c>
      <c r="B63" s="207" t="s">
        <v>12</v>
      </c>
      <c r="C63" s="221">
        <f>C62*C31/100</f>
        <v>8.1377843025155133E-2</v>
      </c>
      <c r="D63" s="221">
        <f>D62*D31/100</f>
        <v>8.1377843025155133E-2</v>
      </c>
      <c r="E63" s="227"/>
      <c r="F63" s="124"/>
      <c r="G63" s="5"/>
      <c r="H63" s="5"/>
      <c r="I63" s="5"/>
      <c r="J63" s="9"/>
      <c r="K63" s="9"/>
      <c r="L63" s="9"/>
      <c r="M63" s="10"/>
      <c r="N63" s="10"/>
      <c r="O63" s="10"/>
      <c r="P63" s="10"/>
      <c r="Q63" s="10"/>
      <c r="R63" s="10"/>
      <c r="S63" s="10"/>
      <c r="T63" s="10"/>
      <c r="U63" s="65"/>
      <c r="V63" s="36"/>
      <c r="W63" s="36"/>
      <c r="X63" s="5"/>
      <c r="Y63" s="5"/>
      <c r="Z63" s="5"/>
      <c r="AA63" s="5"/>
      <c r="AB63" s="5"/>
      <c r="AC63" s="5"/>
      <c r="AD63" s="5"/>
      <c r="AE63" s="107"/>
      <c r="AF63" s="107"/>
      <c r="AG63" s="107"/>
      <c r="AH63" s="107"/>
      <c r="AI63" s="107"/>
      <c r="AJ63" s="107"/>
      <c r="AK63" s="107"/>
    </row>
    <row r="64" spans="1:37">
      <c r="A64" s="188" t="s">
        <v>169</v>
      </c>
      <c r="B64" s="207" t="s">
        <v>113</v>
      </c>
      <c r="C64" s="221">
        <f>C63*C26</f>
        <v>1.5461790174779475E-2</v>
      </c>
      <c r="D64" s="221">
        <f>D63*D26</f>
        <v>1.5461790174779475E-2</v>
      </c>
      <c r="E64" s="230"/>
      <c r="F64" s="124"/>
      <c r="L64" s="9"/>
      <c r="M64" s="10"/>
      <c r="N64" s="10"/>
      <c r="O64" s="10"/>
      <c r="P64" s="10"/>
      <c r="Q64" s="10"/>
      <c r="R64" s="9"/>
      <c r="S64" s="9"/>
      <c r="T64" s="75"/>
      <c r="U64" s="65"/>
      <c r="V64" s="36"/>
      <c r="W64" s="36"/>
      <c r="X64" s="5"/>
      <c r="Y64" s="5"/>
      <c r="Z64" s="5"/>
      <c r="AA64" s="5"/>
      <c r="AB64" s="5"/>
      <c r="AC64" s="5"/>
      <c r="AD64" s="5"/>
      <c r="AE64" s="107"/>
      <c r="AF64" s="107"/>
      <c r="AG64" s="107"/>
      <c r="AH64" s="107"/>
      <c r="AI64" s="107"/>
      <c r="AJ64" s="107"/>
      <c r="AK64" s="107"/>
    </row>
    <row r="65" spans="1:37">
      <c r="A65" s="188" t="s">
        <v>123</v>
      </c>
      <c r="B65" s="207" t="s">
        <v>2</v>
      </c>
      <c r="C65" s="221">
        <f>C13/C16</f>
        <v>1.7142857142857142</v>
      </c>
      <c r="D65" s="221">
        <f>D13/D16</f>
        <v>2</v>
      </c>
      <c r="E65" s="230"/>
      <c r="F65" s="9"/>
      <c r="L65" s="75">
        <f>C24</f>
        <v>0.54600000000000004</v>
      </c>
      <c r="M65" s="10"/>
      <c r="N65" s="10"/>
      <c r="O65" s="10"/>
      <c r="P65" s="10"/>
      <c r="Q65" s="10"/>
      <c r="R65" s="10"/>
      <c r="S65" s="10"/>
      <c r="T65" s="75">
        <f>C25</f>
        <v>0.27300000000000002</v>
      </c>
      <c r="U65" s="95"/>
      <c r="V65" s="36"/>
      <c r="W65" s="36"/>
      <c r="X65" s="38"/>
      <c r="Y65" s="38"/>
      <c r="Z65" s="38"/>
      <c r="AA65" s="38"/>
      <c r="AB65" s="38"/>
      <c r="AC65" s="5"/>
      <c r="AD65" s="5"/>
      <c r="AE65" s="107"/>
      <c r="AF65" s="107"/>
      <c r="AG65" s="107"/>
      <c r="AH65" s="107"/>
      <c r="AI65" s="107"/>
      <c r="AJ65" s="107"/>
      <c r="AK65" s="107"/>
    </row>
    <row r="66" spans="1:37" s="3" customFormat="1">
      <c r="A66" s="188" t="s">
        <v>161</v>
      </c>
      <c r="B66" s="207" t="s">
        <v>56</v>
      </c>
      <c r="C66" s="221">
        <f>C65/C64/60</f>
        <v>1.8478732571363503</v>
      </c>
      <c r="D66" s="221">
        <f>D65/D64/60</f>
        <v>2.1558521333257423</v>
      </c>
      <c r="E66" s="227"/>
      <c r="F66" s="100"/>
      <c r="L66" s="9"/>
      <c r="M66" s="10"/>
      <c r="N66" s="10"/>
      <c r="O66" s="10"/>
      <c r="P66" s="10"/>
      <c r="Q66" s="10"/>
      <c r="R66" s="10"/>
      <c r="S66" s="10"/>
      <c r="T66" s="75"/>
      <c r="U66" s="95"/>
      <c r="V66" s="36"/>
      <c r="W66" s="36"/>
      <c r="X66" s="38"/>
      <c r="Y66" s="38"/>
      <c r="Z66" s="38"/>
      <c r="AA66" s="38"/>
      <c r="AB66" s="38"/>
      <c r="AC66" s="5"/>
      <c r="AD66" s="5"/>
      <c r="AE66" s="107"/>
      <c r="AF66" s="107"/>
      <c r="AG66" s="107"/>
      <c r="AH66" s="107"/>
      <c r="AI66" s="107"/>
      <c r="AJ66" s="107"/>
      <c r="AK66" s="107"/>
    </row>
    <row r="67" spans="1:37">
      <c r="A67" s="200" t="s">
        <v>162</v>
      </c>
      <c r="B67" s="231" t="s">
        <v>73</v>
      </c>
      <c r="C67" s="232">
        <f>PI()*(C24-2*C29/1000)*C66/60</f>
        <v>5.1666858939522949E-2</v>
      </c>
      <c r="D67" s="232">
        <f>PI()*(D24-2*D29/1000)*D66/60</f>
        <v>6.0278002096110117E-2</v>
      </c>
      <c r="E67" s="83"/>
      <c r="F67" s="100"/>
      <c r="L67" s="9"/>
      <c r="M67" s="10"/>
      <c r="N67" s="10"/>
      <c r="O67" s="10"/>
      <c r="P67" s="10"/>
      <c r="Q67" s="10"/>
      <c r="R67" s="10"/>
      <c r="S67" s="10"/>
      <c r="T67" s="10"/>
      <c r="U67" s="95"/>
      <c r="V67" s="36"/>
      <c r="W67" s="36"/>
      <c r="X67" s="38"/>
      <c r="Y67" s="38"/>
      <c r="Z67" s="38"/>
      <c r="AA67" s="38"/>
      <c r="AB67" s="38"/>
      <c r="AC67" s="5"/>
      <c r="AD67" s="5"/>
      <c r="AE67" s="107"/>
      <c r="AF67" s="107"/>
      <c r="AG67" s="107"/>
      <c r="AH67" s="107"/>
      <c r="AI67" s="107"/>
      <c r="AJ67" s="107"/>
      <c r="AK67" s="107"/>
    </row>
    <row r="68" spans="1:37">
      <c r="A68" s="233"/>
      <c r="B68" s="233"/>
      <c r="C68" s="233"/>
      <c r="D68" s="233"/>
      <c r="E68" s="233"/>
      <c r="F68" s="122"/>
      <c r="L68" s="75"/>
      <c r="M68" s="10"/>
      <c r="N68" s="10"/>
      <c r="O68" s="10"/>
      <c r="P68" s="10"/>
      <c r="Q68" s="10"/>
      <c r="R68" s="10"/>
      <c r="S68" s="10"/>
      <c r="T68" s="10"/>
      <c r="U68" s="5"/>
      <c r="V68" s="107"/>
      <c r="W68" s="107"/>
      <c r="X68" s="38"/>
      <c r="Y68" s="38"/>
      <c r="Z68" s="38"/>
      <c r="AA68" s="38"/>
      <c r="AB68" s="38"/>
      <c r="AC68" s="5"/>
      <c r="AD68" s="5"/>
      <c r="AE68" s="107"/>
      <c r="AF68" s="107"/>
      <c r="AG68" s="107"/>
      <c r="AH68" s="107"/>
      <c r="AI68" s="107"/>
      <c r="AJ68" s="107"/>
      <c r="AK68" s="107"/>
    </row>
    <row r="69" spans="1:37">
      <c r="A69" s="187"/>
      <c r="B69" s="187"/>
      <c r="C69" s="187"/>
      <c r="D69" s="187"/>
      <c r="E69" s="187"/>
      <c r="F69" s="74"/>
      <c r="L69" s="75"/>
      <c r="M69" s="10"/>
      <c r="N69" s="10"/>
      <c r="O69" s="9"/>
      <c r="P69" s="75">
        <f>C83</f>
        <v>11.369074734627068</v>
      </c>
      <c r="Q69" s="10"/>
      <c r="R69" s="10"/>
      <c r="S69" s="10"/>
      <c r="T69" s="10"/>
      <c r="U69" s="5"/>
      <c r="V69" s="107"/>
      <c r="W69" s="107"/>
      <c r="X69" s="38"/>
      <c r="Y69" s="38"/>
      <c r="Z69" s="38"/>
      <c r="AA69" s="38"/>
      <c r="AB69" s="38"/>
      <c r="AC69" s="5"/>
      <c r="AD69" s="5"/>
      <c r="AE69" s="107"/>
      <c r="AF69" s="107"/>
      <c r="AG69" s="107"/>
      <c r="AH69" s="107"/>
      <c r="AI69" s="107"/>
      <c r="AJ69" s="107"/>
      <c r="AK69" s="107"/>
    </row>
    <row r="70" spans="1:37" ht="18.75">
      <c r="A70" s="234" t="s">
        <v>48</v>
      </c>
      <c r="B70" s="235"/>
      <c r="C70" s="236"/>
      <c r="D70" s="236"/>
      <c r="E70" s="237"/>
      <c r="F70" s="76"/>
      <c r="L70" s="75"/>
      <c r="M70" s="10"/>
      <c r="N70" s="10"/>
      <c r="O70" s="10"/>
      <c r="P70" s="75"/>
      <c r="Q70" s="10"/>
      <c r="R70" s="10"/>
      <c r="S70" s="66"/>
      <c r="T70" s="66"/>
      <c r="U70" s="5"/>
      <c r="V70" s="107"/>
      <c r="W70" s="107"/>
      <c r="X70" s="38"/>
      <c r="Y70" s="38"/>
      <c r="Z70" s="38"/>
      <c r="AA70" s="38"/>
      <c r="AB70" s="38"/>
      <c r="AC70" s="38"/>
      <c r="AD70" s="38"/>
      <c r="AE70" s="107"/>
      <c r="AF70" s="107"/>
      <c r="AG70" s="107"/>
      <c r="AH70" s="107"/>
      <c r="AI70" s="107"/>
      <c r="AJ70" s="107"/>
      <c r="AK70" s="107"/>
    </row>
    <row r="71" spans="1:37">
      <c r="A71" s="238" t="s">
        <v>49</v>
      </c>
      <c r="B71" s="239" t="s">
        <v>10</v>
      </c>
      <c r="C71" s="240">
        <f>C24</f>
        <v>0.54600000000000004</v>
      </c>
      <c r="D71" s="241">
        <f>D24</f>
        <v>0.54600000000000004</v>
      </c>
      <c r="E71" s="242" t="s">
        <v>50</v>
      </c>
      <c r="F71" s="76"/>
      <c r="L71" s="65"/>
      <c r="M71" s="65"/>
      <c r="N71" s="65"/>
      <c r="O71" s="65"/>
      <c r="P71" s="75"/>
      <c r="Q71" s="65"/>
      <c r="R71" s="65"/>
      <c r="S71" s="65"/>
      <c r="T71" s="65"/>
      <c r="U71" s="5"/>
      <c r="V71" s="107"/>
      <c r="W71" s="107"/>
      <c r="X71" s="38"/>
      <c r="Y71" s="38"/>
      <c r="Z71" s="38"/>
      <c r="AA71" s="38"/>
      <c r="AB71" s="38"/>
      <c r="AC71" s="38"/>
      <c r="AD71" s="38"/>
      <c r="AE71" s="107"/>
      <c r="AF71" s="107"/>
      <c r="AG71" s="107"/>
      <c r="AH71" s="107"/>
      <c r="AI71" s="107"/>
      <c r="AJ71" s="107"/>
      <c r="AK71" s="107"/>
    </row>
    <row r="72" spans="1:37">
      <c r="A72" s="130" t="s">
        <v>52</v>
      </c>
      <c r="B72" s="141" t="s">
        <v>10</v>
      </c>
      <c r="C72" s="145">
        <f>C25</f>
        <v>0.27300000000000002</v>
      </c>
      <c r="D72" s="149">
        <f>D25</f>
        <v>0.27300000000000002</v>
      </c>
      <c r="E72" s="76" t="s">
        <v>53</v>
      </c>
      <c r="F72" s="76"/>
      <c r="L72" s="9"/>
      <c r="M72" s="75">
        <f>C79</f>
        <v>0.8</v>
      </c>
      <c r="N72" s="65"/>
      <c r="O72" s="10"/>
      <c r="P72" s="65"/>
      <c r="Q72" s="10"/>
      <c r="R72" s="10"/>
      <c r="S72" s="66"/>
      <c r="T72" s="66"/>
      <c r="U72" s="5"/>
      <c r="V72" s="107"/>
      <c r="W72" s="107"/>
      <c r="X72" s="38"/>
      <c r="Y72" s="38"/>
      <c r="Z72" s="38"/>
      <c r="AA72" s="38"/>
      <c r="AB72" s="38"/>
      <c r="AC72" s="38"/>
      <c r="AD72" s="38"/>
      <c r="AE72" s="107"/>
      <c r="AF72" s="107"/>
      <c r="AG72" s="107"/>
      <c r="AH72" s="107"/>
      <c r="AI72" s="107"/>
      <c r="AJ72" s="107"/>
      <c r="AK72" s="107"/>
    </row>
    <row r="73" spans="1:37">
      <c r="A73" s="130" t="s">
        <v>54</v>
      </c>
      <c r="B73" s="141" t="s">
        <v>47</v>
      </c>
      <c r="C73" s="111">
        <v>10</v>
      </c>
      <c r="D73" s="150">
        <f>C73</f>
        <v>10</v>
      </c>
      <c r="E73" s="78" t="s">
        <v>9</v>
      </c>
      <c r="F73" s="76"/>
      <c r="L73" s="9"/>
      <c r="M73" s="10"/>
      <c r="N73" s="10"/>
      <c r="O73" s="10"/>
      <c r="P73" s="10"/>
      <c r="Q73" s="10"/>
      <c r="R73" s="10"/>
      <c r="S73" s="66"/>
      <c r="T73" s="66"/>
      <c r="U73" s="5"/>
      <c r="V73" s="107"/>
      <c r="W73" s="107"/>
      <c r="X73" s="38"/>
      <c r="Y73" s="38"/>
      <c r="Z73" s="38"/>
      <c r="AA73" s="38"/>
      <c r="AB73" s="38"/>
      <c r="AC73" s="38"/>
      <c r="AD73" s="38"/>
      <c r="AE73" s="36"/>
      <c r="AF73" s="36"/>
      <c r="AG73" s="36"/>
      <c r="AH73" s="107"/>
      <c r="AI73" s="107"/>
      <c r="AJ73" s="107"/>
      <c r="AK73" s="107"/>
    </row>
    <row r="74" spans="1:37">
      <c r="A74" s="130" t="s">
        <v>57</v>
      </c>
      <c r="B74" s="141" t="s">
        <v>47</v>
      </c>
      <c r="C74" s="146">
        <f>C28*1000</f>
        <v>15</v>
      </c>
      <c r="D74" s="151">
        <f>D28*1000</f>
        <v>15</v>
      </c>
      <c r="E74" s="78" t="s">
        <v>9</v>
      </c>
      <c r="F74" s="76"/>
      <c r="L74" s="9"/>
      <c r="M74" s="10"/>
      <c r="O74" s="10"/>
      <c r="P74" s="10"/>
      <c r="Q74" s="9"/>
      <c r="R74" s="10"/>
      <c r="S74" s="66"/>
      <c r="T74" s="66"/>
      <c r="U74" s="73"/>
      <c r="V74" s="107"/>
      <c r="W74" s="107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107"/>
      <c r="AI74" s="107"/>
      <c r="AJ74" s="107"/>
      <c r="AK74" s="107"/>
    </row>
    <row r="75" spans="1:37">
      <c r="A75" s="130" t="s">
        <v>51</v>
      </c>
      <c r="B75" s="142" t="s">
        <v>9</v>
      </c>
      <c r="C75" s="147">
        <f>C72/C71</f>
        <v>0.5</v>
      </c>
      <c r="D75" s="152">
        <f>D72/D71</f>
        <v>0.5</v>
      </c>
      <c r="E75" s="78" t="s">
        <v>9</v>
      </c>
      <c r="F75" s="76"/>
      <c r="L75" s="10"/>
      <c r="M75" s="9"/>
      <c r="N75" s="75"/>
      <c r="O75" s="75"/>
      <c r="P75" s="9"/>
      <c r="Q75" s="9"/>
      <c r="R75" s="9"/>
      <c r="S75" s="9"/>
      <c r="T75" s="9"/>
      <c r="U75" s="5"/>
      <c r="V75" s="107"/>
      <c r="W75" s="107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107"/>
      <c r="AI75" s="107"/>
      <c r="AJ75" s="107"/>
      <c r="AK75" s="107"/>
    </row>
    <row r="76" spans="1:37">
      <c r="A76" s="130" t="s">
        <v>58</v>
      </c>
      <c r="B76" s="142" t="s">
        <v>9</v>
      </c>
      <c r="C76" s="147">
        <f>C77/C71</f>
        <v>0.34798534798534797</v>
      </c>
      <c r="D76" s="152">
        <f>D77/D71</f>
        <v>0.34798534798534797</v>
      </c>
      <c r="E76" s="78" t="s">
        <v>9</v>
      </c>
      <c r="F76" s="76"/>
      <c r="L76" s="65"/>
      <c r="M76" s="9"/>
      <c r="N76" s="75"/>
      <c r="O76" s="9"/>
      <c r="P76" s="9"/>
      <c r="Q76" s="9"/>
      <c r="R76" s="9"/>
      <c r="S76" s="9"/>
      <c r="T76" s="9"/>
      <c r="U76" s="5"/>
      <c r="V76" s="107"/>
      <c r="W76" s="107"/>
      <c r="X76" s="107"/>
      <c r="Y76" s="36"/>
      <c r="Z76" s="36"/>
      <c r="AA76" s="36"/>
      <c r="AB76" s="36"/>
      <c r="AC76" s="38"/>
      <c r="AD76" s="38"/>
      <c r="AE76" s="38"/>
      <c r="AF76" s="38"/>
      <c r="AG76" s="38"/>
      <c r="AH76" s="107"/>
      <c r="AI76" s="107"/>
      <c r="AJ76" s="107"/>
      <c r="AK76" s="107"/>
    </row>
    <row r="77" spans="1:37">
      <c r="A77" s="130" t="s">
        <v>59</v>
      </c>
      <c r="B77" s="141" t="s">
        <v>10</v>
      </c>
      <c r="C77" s="147">
        <f>C26</f>
        <v>0.19</v>
      </c>
      <c r="D77" s="152">
        <f>D26</f>
        <v>0.19</v>
      </c>
      <c r="E77" s="78" t="s">
        <v>9</v>
      </c>
      <c r="F77" s="76"/>
      <c r="L77" s="65"/>
      <c r="M77" s="9"/>
      <c r="N77" s="9"/>
      <c r="O77" s="9"/>
      <c r="P77" s="9"/>
      <c r="Q77" s="9"/>
      <c r="R77" s="9"/>
      <c r="S77" s="9"/>
      <c r="T77" s="9"/>
      <c r="U77" s="5"/>
      <c r="V77" s="107"/>
      <c r="W77" s="107"/>
      <c r="X77" s="107"/>
      <c r="Y77" s="107"/>
      <c r="Z77" s="107"/>
      <c r="AA77" s="107"/>
      <c r="AB77" s="107"/>
      <c r="AC77" s="38"/>
      <c r="AD77" s="38"/>
      <c r="AE77" s="38"/>
      <c r="AF77" s="38"/>
      <c r="AG77" s="38"/>
      <c r="AH77" s="107"/>
      <c r="AI77" s="107"/>
      <c r="AJ77" s="107"/>
      <c r="AK77" s="107"/>
    </row>
    <row r="78" spans="1:37">
      <c r="A78" s="130" t="s">
        <v>60</v>
      </c>
      <c r="B78" s="141" t="s">
        <v>10</v>
      </c>
      <c r="C78" s="125">
        <v>0.6</v>
      </c>
      <c r="D78" s="153">
        <f>C78</f>
        <v>0.6</v>
      </c>
      <c r="E78" s="78" t="s">
        <v>119</v>
      </c>
      <c r="F78" s="76"/>
      <c r="L78" s="75"/>
      <c r="M78" s="9"/>
      <c r="N78" s="9"/>
      <c r="O78" s="9"/>
      <c r="P78" s="9"/>
      <c r="Q78" s="9"/>
      <c r="R78" s="9"/>
      <c r="S78" s="9"/>
      <c r="T78" s="9"/>
      <c r="U78" s="106"/>
      <c r="V78" s="107"/>
      <c r="W78" s="107"/>
      <c r="X78" s="107"/>
      <c r="Y78" s="107"/>
      <c r="Z78" s="107"/>
      <c r="AA78" s="107"/>
      <c r="AB78" s="107"/>
      <c r="AC78" s="38"/>
      <c r="AD78" s="38"/>
      <c r="AE78" s="38"/>
      <c r="AF78" s="38"/>
      <c r="AG78" s="38"/>
      <c r="AH78" s="107"/>
      <c r="AI78" s="107"/>
      <c r="AJ78" s="107"/>
      <c r="AK78" s="107"/>
    </row>
    <row r="79" spans="1:37">
      <c r="A79" s="130" t="s">
        <v>61</v>
      </c>
      <c r="B79" s="141" t="s">
        <v>10</v>
      </c>
      <c r="C79" s="125">
        <v>0.8</v>
      </c>
      <c r="D79" s="153">
        <f>C79</f>
        <v>0.8</v>
      </c>
      <c r="E79" s="78" t="s">
        <v>118</v>
      </c>
      <c r="F79" s="76"/>
      <c r="L79" s="75"/>
      <c r="M79" s="9"/>
      <c r="N79" s="9"/>
      <c r="O79" s="9"/>
      <c r="P79" s="9"/>
      <c r="Q79" s="9"/>
      <c r="R79" s="9"/>
      <c r="S79" s="9"/>
      <c r="T79" s="9"/>
      <c r="U79" s="5"/>
      <c r="V79" s="107"/>
      <c r="W79" s="107"/>
      <c r="X79" s="107"/>
      <c r="Y79" s="107"/>
      <c r="Z79" s="107"/>
      <c r="AA79" s="107"/>
      <c r="AB79" s="107"/>
      <c r="AC79" s="38"/>
      <c r="AD79" s="38"/>
      <c r="AE79" s="38"/>
      <c r="AF79" s="38"/>
      <c r="AG79" s="38"/>
      <c r="AH79" s="107"/>
      <c r="AI79" s="107"/>
      <c r="AJ79" s="107"/>
      <c r="AK79" s="107"/>
    </row>
    <row r="80" spans="1:37">
      <c r="A80" s="130" t="s">
        <v>62</v>
      </c>
      <c r="B80" s="141" t="s">
        <v>10</v>
      </c>
      <c r="C80" s="125">
        <v>1.5</v>
      </c>
      <c r="D80" s="153">
        <f>C80</f>
        <v>1.5</v>
      </c>
      <c r="E80" s="76" t="s">
        <v>63</v>
      </c>
      <c r="F80" s="76"/>
      <c r="L80" s="10"/>
      <c r="M80" s="10"/>
      <c r="N80" s="9"/>
      <c r="O80" s="9"/>
      <c r="P80" s="9"/>
      <c r="Q80" s="9"/>
      <c r="R80" s="9"/>
      <c r="S80" s="9"/>
      <c r="T80" s="79"/>
      <c r="U80" s="5"/>
      <c r="X80" s="107"/>
      <c r="Y80" s="107"/>
      <c r="Z80" s="107"/>
      <c r="AA80" s="107"/>
      <c r="AB80" s="107"/>
      <c r="AC80" s="38"/>
      <c r="AD80" s="38"/>
      <c r="AE80" s="38"/>
      <c r="AF80" s="38"/>
      <c r="AG80" s="38"/>
      <c r="AH80" s="107"/>
      <c r="AI80" s="107"/>
      <c r="AJ80" s="107"/>
      <c r="AK80" s="107"/>
    </row>
    <row r="81" spans="1:37">
      <c r="A81" s="130" t="s">
        <v>64</v>
      </c>
      <c r="B81" s="141" t="s">
        <v>47</v>
      </c>
      <c r="C81" s="123">
        <v>600</v>
      </c>
      <c r="D81" s="128">
        <f>C81</f>
        <v>600</v>
      </c>
      <c r="E81" s="78" t="s">
        <v>120</v>
      </c>
      <c r="F81" s="76"/>
      <c r="L81" s="75">
        <f>C71</f>
        <v>0.54600000000000004</v>
      </c>
      <c r="M81" s="9"/>
      <c r="N81" s="9"/>
      <c r="O81" s="9"/>
      <c r="P81" s="9"/>
      <c r="Q81" s="9"/>
      <c r="R81" s="9"/>
      <c r="S81" s="9"/>
      <c r="T81" s="79"/>
      <c r="U81" s="5"/>
      <c r="X81" s="107"/>
      <c r="Y81" s="107"/>
      <c r="Z81" s="107"/>
      <c r="AA81" s="107"/>
      <c r="AB81" s="107"/>
      <c r="AC81" s="36"/>
      <c r="AD81" s="36"/>
      <c r="AE81" s="38"/>
      <c r="AF81" s="38"/>
      <c r="AG81" s="38"/>
      <c r="AH81" s="107"/>
      <c r="AI81" s="107"/>
      <c r="AJ81" s="107"/>
      <c r="AK81" s="107"/>
    </row>
    <row r="82" spans="1:37">
      <c r="A82" s="130" t="s">
        <v>66</v>
      </c>
      <c r="B82" s="141" t="s">
        <v>10</v>
      </c>
      <c r="C82" s="147">
        <f>C51</f>
        <v>10.769074734627068</v>
      </c>
      <c r="D82" s="152">
        <f>D51</f>
        <v>14.480987931400824</v>
      </c>
      <c r="E82" s="76" t="s">
        <v>67</v>
      </c>
      <c r="F82" s="76"/>
      <c r="L82" s="10"/>
      <c r="M82" s="9"/>
      <c r="N82" s="9"/>
      <c r="O82" s="9"/>
      <c r="P82" s="9"/>
      <c r="Q82" s="9"/>
      <c r="R82" s="9"/>
      <c r="S82" s="9"/>
      <c r="T82" s="79"/>
      <c r="U82" s="5"/>
      <c r="X82" s="107"/>
      <c r="Y82" s="107"/>
      <c r="Z82" s="107"/>
      <c r="AA82" s="107"/>
      <c r="AB82" s="107"/>
      <c r="AC82" s="107"/>
      <c r="AD82" s="107"/>
      <c r="AE82" s="38"/>
      <c r="AF82" s="38"/>
      <c r="AG82" s="38"/>
      <c r="AH82" s="107"/>
      <c r="AI82" s="107"/>
      <c r="AJ82" s="107"/>
      <c r="AK82" s="107"/>
    </row>
    <row r="83" spans="1:37">
      <c r="A83" s="130" t="s">
        <v>68</v>
      </c>
      <c r="B83" s="141" t="s">
        <v>10</v>
      </c>
      <c r="C83" s="147">
        <f>C82+C78</f>
        <v>11.369074734627068</v>
      </c>
      <c r="D83" s="152">
        <f>D82+D78</f>
        <v>15.080987931400823</v>
      </c>
      <c r="E83" s="78" t="s">
        <v>117</v>
      </c>
      <c r="F83" s="99"/>
      <c r="L83" s="10"/>
      <c r="M83" s="9"/>
      <c r="N83" s="9"/>
      <c r="O83" s="9"/>
      <c r="P83" s="9"/>
      <c r="Q83" s="9"/>
      <c r="R83" s="9"/>
      <c r="S83" s="9"/>
      <c r="T83" s="9"/>
      <c r="U83" s="5"/>
      <c r="X83" s="107"/>
      <c r="Y83" s="107"/>
      <c r="Z83" s="107"/>
      <c r="AA83" s="107"/>
      <c r="AB83" s="107"/>
      <c r="AC83" s="107"/>
      <c r="AD83" s="107"/>
      <c r="AE83" s="38"/>
      <c r="AF83" s="38"/>
      <c r="AG83" s="38"/>
      <c r="AH83" s="107"/>
      <c r="AI83" s="107"/>
      <c r="AJ83" s="107"/>
      <c r="AK83" s="107"/>
    </row>
    <row r="84" spans="1:37">
      <c r="A84" s="130" t="s">
        <v>69</v>
      </c>
      <c r="B84" s="142" t="s">
        <v>9</v>
      </c>
      <c r="C84" s="147">
        <f>C83/C77</f>
        <v>59.837235445405618</v>
      </c>
      <c r="D84" s="152">
        <f>D83/D77</f>
        <v>79.373620691583284</v>
      </c>
      <c r="E84" s="133" t="s">
        <v>9</v>
      </c>
      <c r="F84" s="76"/>
      <c r="M84" s="9"/>
      <c r="N84" s="9"/>
      <c r="O84" s="9"/>
      <c r="P84" s="9"/>
      <c r="Q84" s="9"/>
      <c r="R84" s="9"/>
      <c r="S84" s="9"/>
      <c r="T84" s="9"/>
      <c r="U84" s="5"/>
      <c r="X84" s="107"/>
      <c r="Y84" s="107"/>
      <c r="Z84" s="107"/>
      <c r="AA84" s="107"/>
      <c r="AB84" s="107"/>
      <c r="AC84" s="107"/>
      <c r="AD84" s="107"/>
      <c r="AE84" s="36"/>
      <c r="AF84" s="36"/>
      <c r="AG84" s="36"/>
      <c r="AH84" s="107"/>
      <c r="AI84" s="107"/>
      <c r="AJ84" s="107"/>
      <c r="AK84" s="107"/>
    </row>
    <row r="85" spans="1:37">
      <c r="A85" s="143" t="s">
        <v>70</v>
      </c>
      <c r="B85" s="144" t="s">
        <v>10</v>
      </c>
      <c r="C85" s="148">
        <f>C83+C80</f>
        <v>12.869074734627068</v>
      </c>
      <c r="D85" s="154">
        <f>D83+D80</f>
        <v>16.580987931400823</v>
      </c>
      <c r="E85" s="78" t="s">
        <v>9</v>
      </c>
      <c r="F85" s="99"/>
      <c r="L85" s="75"/>
      <c r="M85" s="9"/>
      <c r="N85" s="9"/>
      <c r="O85" s="9"/>
      <c r="P85" s="80">
        <f>C82</f>
        <v>10.769074734627068</v>
      </c>
      <c r="Q85" s="9"/>
      <c r="R85" s="75"/>
      <c r="S85" s="9"/>
      <c r="T85" s="9"/>
      <c r="U85" s="5"/>
      <c r="X85" s="107"/>
      <c r="Y85" s="107"/>
      <c r="Z85" s="107"/>
      <c r="AA85" s="107"/>
      <c r="AB85" s="107"/>
      <c r="AC85" s="107"/>
      <c r="AD85" s="107"/>
      <c r="AE85" s="107"/>
      <c r="AF85" s="107"/>
      <c r="AG85" s="107"/>
      <c r="AH85" s="107"/>
      <c r="AI85" s="107"/>
      <c r="AJ85" s="107"/>
      <c r="AK85" s="107"/>
    </row>
    <row r="86" spans="1:37">
      <c r="A86" s="100"/>
      <c r="B86" s="100"/>
      <c r="C86" s="100"/>
      <c r="D86" s="100"/>
      <c r="E86" s="99"/>
      <c r="F86" s="99"/>
      <c r="L86" s="75"/>
      <c r="M86" s="9"/>
      <c r="N86" s="9"/>
      <c r="O86" s="9"/>
      <c r="P86" s="80"/>
      <c r="Q86" s="9"/>
      <c r="R86" s="75"/>
      <c r="S86" s="9"/>
      <c r="T86" s="9"/>
      <c r="U86" s="5"/>
      <c r="X86" s="107"/>
      <c r="Y86" s="107"/>
      <c r="Z86" s="107"/>
      <c r="AA86" s="107"/>
      <c r="AB86" s="108"/>
      <c r="AC86" s="107"/>
      <c r="AD86" s="107"/>
      <c r="AE86" s="107"/>
      <c r="AF86" s="107"/>
      <c r="AG86" s="107"/>
      <c r="AH86" s="107"/>
      <c r="AI86" s="107"/>
      <c r="AJ86" s="107"/>
      <c r="AK86" s="107"/>
    </row>
    <row r="87" spans="1:37">
      <c r="A87" s="100"/>
      <c r="B87" s="100"/>
      <c r="C87" s="100"/>
      <c r="D87" s="100"/>
      <c r="E87" s="99"/>
      <c r="F87" s="76"/>
      <c r="L87" s="65"/>
      <c r="M87" s="9"/>
      <c r="N87" s="9"/>
      <c r="O87" s="9"/>
      <c r="P87" s="80"/>
      <c r="Q87" s="9"/>
      <c r="R87" s="75"/>
      <c r="S87" s="9"/>
      <c r="T87" s="65"/>
      <c r="U87" s="5"/>
      <c r="X87" s="107"/>
      <c r="Y87" s="107"/>
      <c r="Z87" s="107"/>
      <c r="AA87" s="107"/>
      <c r="AB87" s="107"/>
      <c r="AC87" s="107"/>
      <c r="AD87" s="107"/>
      <c r="AE87" s="107"/>
      <c r="AF87" s="107"/>
      <c r="AG87" s="107"/>
      <c r="AH87" s="107"/>
      <c r="AI87" s="107"/>
      <c r="AJ87" s="107"/>
      <c r="AK87" s="107"/>
    </row>
    <row r="88" spans="1:37" ht="18.75">
      <c r="A88" s="129" t="s">
        <v>170</v>
      </c>
      <c r="B88" s="5"/>
      <c r="C88" s="98"/>
      <c r="D88" s="98"/>
      <c r="E88" s="78"/>
      <c r="F88" s="76"/>
      <c r="L88" s="10"/>
      <c r="M88" s="65"/>
      <c r="N88" s="65"/>
      <c r="O88" s="65"/>
      <c r="P88" s="65"/>
      <c r="Q88" s="65"/>
      <c r="R88" s="65"/>
      <c r="S88" s="9"/>
      <c r="T88" s="80"/>
      <c r="U88" s="5"/>
      <c r="X88" s="107"/>
      <c r="Y88" s="107"/>
      <c r="Z88" s="107"/>
      <c r="AA88" s="107"/>
      <c r="AB88" s="107"/>
      <c r="AC88" s="107"/>
      <c r="AD88" s="107"/>
      <c r="AE88" s="107"/>
      <c r="AF88" s="107"/>
      <c r="AG88" s="107"/>
      <c r="AH88" s="107"/>
      <c r="AI88" s="107"/>
      <c r="AJ88" s="107"/>
      <c r="AK88" s="107"/>
    </row>
    <row r="89" spans="1:37">
      <c r="A89" s="140" t="s">
        <v>111</v>
      </c>
      <c r="B89" s="155" t="s">
        <v>39</v>
      </c>
      <c r="C89" s="175">
        <f>C16</f>
        <v>350</v>
      </c>
      <c r="D89" s="251">
        <f>D16</f>
        <v>350</v>
      </c>
      <c r="E89" s="78" t="s">
        <v>9</v>
      </c>
      <c r="F89" s="76"/>
      <c r="L89" s="10"/>
      <c r="M89" s="65"/>
      <c r="N89" s="65"/>
      <c r="O89" s="65"/>
      <c r="P89" s="65"/>
      <c r="Q89" s="65"/>
      <c r="R89" s="65"/>
      <c r="S89" s="80">
        <f>C78</f>
        <v>0.6</v>
      </c>
      <c r="T89" s="80"/>
      <c r="U89" s="5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</row>
    <row r="90" spans="1:37">
      <c r="A90" s="130" t="s">
        <v>71</v>
      </c>
      <c r="B90" s="156" t="s">
        <v>3</v>
      </c>
      <c r="C90" s="128">
        <v>80</v>
      </c>
      <c r="D90" s="252">
        <v>81</v>
      </c>
      <c r="E90" s="78" t="s">
        <v>164</v>
      </c>
      <c r="F90" s="76"/>
      <c r="L90" s="10"/>
      <c r="M90" s="9"/>
      <c r="N90" s="9"/>
      <c r="O90" s="9"/>
      <c r="P90" s="9"/>
      <c r="Q90" s="9"/>
      <c r="R90" s="9"/>
      <c r="S90" s="5"/>
      <c r="T90" s="5"/>
      <c r="U90" s="5"/>
      <c r="X90" s="36"/>
      <c r="Y90" s="107"/>
      <c r="Z90" s="107"/>
      <c r="AA90" s="107"/>
      <c r="AB90" s="107"/>
      <c r="AC90" s="107"/>
      <c r="AD90" s="107"/>
      <c r="AE90" s="107"/>
      <c r="AF90" s="107"/>
      <c r="AG90" s="107"/>
      <c r="AH90" s="107"/>
      <c r="AI90" s="107"/>
      <c r="AJ90" s="107"/>
      <c r="AK90" s="107"/>
    </row>
    <row r="91" spans="1:37">
      <c r="A91" s="130" t="s">
        <v>112</v>
      </c>
      <c r="B91" s="156" t="s">
        <v>113</v>
      </c>
      <c r="C91" s="176">
        <f>C64</f>
        <v>1.5461790174779475E-2</v>
      </c>
      <c r="D91" s="253">
        <f>D64</f>
        <v>1.5461790174779475E-2</v>
      </c>
      <c r="E91" s="78" t="s">
        <v>9</v>
      </c>
      <c r="F91" s="76"/>
      <c r="L91" s="10"/>
      <c r="M91" s="82">
        <f>C113</f>
        <v>8</v>
      </c>
      <c r="N91" s="9"/>
      <c r="O91" s="9"/>
      <c r="P91" s="9"/>
      <c r="Q91" s="9"/>
      <c r="R91" s="9"/>
      <c r="S91" s="5"/>
      <c r="T91" s="5"/>
      <c r="U91" s="5"/>
      <c r="X91" s="107"/>
      <c r="Y91" s="107"/>
      <c r="Z91" s="107"/>
      <c r="AA91" s="107"/>
      <c r="AB91" s="107"/>
      <c r="AC91" s="107"/>
      <c r="AD91" s="107"/>
      <c r="AE91" s="107"/>
      <c r="AF91" s="107"/>
      <c r="AG91" s="107"/>
      <c r="AH91" s="107"/>
      <c r="AI91" s="107"/>
      <c r="AJ91" s="107"/>
      <c r="AK91" s="107"/>
    </row>
    <row r="92" spans="1:37">
      <c r="A92" s="130" t="s">
        <v>72</v>
      </c>
      <c r="B92" s="156" t="s">
        <v>56</v>
      </c>
      <c r="C92" s="149">
        <f>C66</f>
        <v>1.8478732571363503</v>
      </c>
      <c r="D92" s="254">
        <f>D66</f>
        <v>2.1558521333257423</v>
      </c>
      <c r="E92" s="78" t="s">
        <v>9</v>
      </c>
      <c r="F92" s="76"/>
      <c r="L92" s="10"/>
      <c r="M92" s="82"/>
      <c r="N92" s="9"/>
      <c r="O92" s="9"/>
      <c r="P92" s="9"/>
      <c r="Q92" s="9"/>
      <c r="R92" s="9"/>
      <c r="S92" s="5"/>
      <c r="T92" s="5"/>
      <c r="U92" s="5"/>
      <c r="X92" s="107"/>
      <c r="Y92" s="107"/>
      <c r="Z92" s="107"/>
      <c r="AA92" s="107"/>
      <c r="AB92" s="107"/>
      <c r="AC92" s="107"/>
      <c r="AD92" s="107"/>
      <c r="AE92" s="107"/>
      <c r="AF92" s="107"/>
      <c r="AG92" s="107"/>
      <c r="AH92" s="107"/>
      <c r="AI92" s="107"/>
      <c r="AJ92" s="107"/>
      <c r="AK92" s="107"/>
    </row>
    <row r="93" spans="1:37" ht="15.75">
      <c r="A93" s="130" t="s">
        <v>114</v>
      </c>
      <c r="B93" s="156" t="s">
        <v>79</v>
      </c>
      <c r="C93" s="168">
        <f>10.31*C91*C89*C90/100*C82</f>
        <v>480.6786832818479</v>
      </c>
      <c r="D93" s="255">
        <f>10.31*D91*D89*D90/100*D82</f>
        <v>654.43978826410444</v>
      </c>
      <c r="E93" s="78" t="s">
        <v>9</v>
      </c>
      <c r="F93" s="76"/>
      <c r="L93" s="10"/>
      <c r="M93" s="82"/>
      <c r="N93" s="9"/>
      <c r="O93" s="9"/>
      <c r="P93" s="9"/>
      <c r="Q93" s="9"/>
      <c r="R93" s="9"/>
      <c r="S93" s="5"/>
      <c r="T93" s="5"/>
      <c r="U93" s="5"/>
      <c r="X93" s="107"/>
      <c r="Y93" s="107"/>
      <c r="Z93" s="107"/>
      <c r="AA93" s="109"/>
      <c r="AB93" s="107"/>
      <c r="AC93" s="107"/>
      <c r="AD93" s="107"/>
      <c r="AE93" s="107"/>
      <c r="AF93" s="107"/>
      <c r="AG93" s="107"/>
      <c r="AH93" s="107"/>
      <c r="AI93" s="107"/>
      <c r="AJ93" s="107"/>
      <c r="AK93" s="107"/>
    </row>
    <row r="94" spans="1:37">
      <c r="A94" s="130" t="s">
        <v>115</v>
      </c>
      <c r="B94" s="131" t="s">
        <v>9</v>
      </c>
      <c r="C94" s="150">
        <v>1</v>
      </c>
      <c r="D94" s="256">
        <v>2</v>
      </c>
      <c r="E94" s="78" t="s">
        <v>9</v>
      </c>
      <c r="F94" s="76"/>
      <c r="L94" s="5"/>
      <c r="M94" s="5"/>
      <c r="N94" s="5"/>
      <c r="O94" s="83"/>
      <c r="P94" s="83"/>
      <c r="Q94" s="83"/>
      <c r="R94" s="83"/>
      <c r="S94" s="10"/>
      <c r="T94" s="10"/>
      <c r="AA94" s="107"/>
      <c r="AB94" s="107"/>
      <c r="AC94" s="107"/>
      <c r="AD94" s="107"/>
      <c r="AE94" s="107"/>
      <c r="AF94" s="107"/>
      <c r="AG94" s="107"/>
      <c r="AH94" s="107"/>
      <c r="AI94" s="107"/>
      <c r="AJ94" s="107"/>
      <c r="AK94" s="107"/>
    </row>
    <row r="95" spans="1:37">
      <c r="A95" s="130" t="s">
        <v>116</v>
      </c>
      <c r="B95" s="156" t="s">
        <v>79</v>
      </c>
      <c r="C95" s="168">
        <f>C93*C94</f>
        <v>480.6786832818479</v>
      </c>
      <c r="D95" s="255">
        <f>D93*D94</f>
        <v>1308.8795765282089</v>
      </c>
      <c r="E95" s="134"/>
      <c r="F95" s="124"/>
      <c r="L95" s="9"/>
      <c r="M95" s="83"/>
      <c r="N95" s="83"/>
      <c r="O95" s="83"/>
      <c r="P95" s="83"/>
      <c r="Q95" s="83"/>
      <c r="R95" s="83"/>
      <c r="S95" s="10"/>
      <c r="T95" s="10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</row>
    <row r="96" spans="1:37">
      <c r="A96" s="130" t="s">
        <v>80</v>
      </c>
      <c r="B96" s="131" t="s">
        <v>9</v>
      </c>
      <c r="C96" s="150">
        <v>1.5</v>
      </c>
      <c r="D96" s="256">
        <v>2.5</v>
      </c>
      <c r="E96" s="135" t="s">
        <v>9</v>
      </c>
      <c r="F96" s="124"/>
      <c r="L96" s="9"/>
      <c r="M96" s="83"/>
      <c r="N96" s="83"/>
      <c r="O96" s="9"/>
      <c r="P96" s="83"/>
      <c r="Q96" s="83"/>
      <c r="R96" s="83"/>
      <c r="S96" s="9"/>
      <c r="T96" s="10"/>
      <c r="AA96" s="107"/>
      <c r="AB96" s="107"/>
      <c r="AC96" s="107"/>
      <c r="AD96" s="107"/>
      <c r="AE96" s="107"/>
      <c r="AF96" s="107"/>
      <c r="AG96" s="107"/>
      <c r="AH96" s="107"/>
      <c r="AI96" s="107"/>
      <c r="AJ96" s="107"/>
      <c r="AK96" s="107"/>
    </row>
    <row r="97" spans="1:37">
      <c r="A97" s="130" t="s">
        <v>81</v>
      </c>
      <c r="B97" s="156" t="s">
        <v>79</v>
      </c>
      <c r="C97" s="168">
        <f>C95*C96</f>
        <v>721.01802492277181</v>
      </c>
      <c r="D97" s="255">
        <f>D95*D96</f>
        <v>3272.198941320522</v>
      </c>
      <c r="E97" s="136" t="s">
        <v>82</v>
      </c>
      <c r="L97" s="9"/>
      <c r="M97" s="9"/>
      <c r="N97" s="9"/>
      <c r="O97" s="9"/>
      <c r="P97" s="9"/>
      <c r="Q97" s="9"/>
      <c r="R97" s="9"/>
      <c r="S97" s="9"/>
      <c r="T97" s="10"/>
      <c r="AA97" s="107"/>
      <c r="AB97" s="107"/>
      <c r="AC97" s="107"/>
      <c r="AD97" s="107"/>
      <c r="AE97" s="107"/>
      <c r="AF97" s="107"/>
      <c r="AG97" s="107"/>
      <c r="AH97" s="107"/>
      <c r="AI97" s="107"/>
      <c r="AJ97" s="107"/>
      <c r="AK97" s="107"/>
    </row>
    <row r="98" spans="1:37">
      <c r="A98" s="130" t="s">
        <v>83</v>
      </c>
      <c r="B98" s="156" t="s">
        <v>84</v>
      </c>
      <c r="C98" s="168">
        <f>C95*2*PI()*C92/60</f>
        <v>93.015572001344054</v>
      </c>
      <c r="D98" s="255">
        <f>D95*2*PI()*D92/60</f>
        <v>295.49305564615389</v>
      </c>
      <c r="E98" s="250" t="s">
        <v>9</v>
      </c>
      <c r="L98" s="9"/>
      <c r="M98" s="9"/>
      <c r="N98" s="9"/>
      <c r="O98" s="9"/>
      <c r="P98" s="9"/>
      <c r="Q98" s="9"/>
      <c r="R98" s="9"/>
      <c r="S98" s="10"/>
      <c r="T98" s="10"/>
      <c r="AA98" s="107"/>
      <c r="AB98" s="107"/>
      <c r="AC98" s="107"/>
      <c r="AD98" s="107"/>
      <c r="AE98" s="107"/>
      <c r="AF98" s="107"/>
      <c r="AG98" s="107"/>
      <c r="AH98" s="107"/>
      <c r="AI98" s="107"/>
      <c r="AJ98" s="107"/>
      <c r="AK98" s="107"/>
    </row>
    <row r="99" spans="1:37">
      <c r="A99" s="143" t="s">
        <v>85</v>
      </c>
      <c r="B99" s="157" t="s">
        <v>84</v>
      </c>
      <c r="C99" s="169">
        <f>C97*2*PI()*C92/60</f>
        <v>139.5233580020161</v>
      </c>
      <c r="D99" s="257">
        <f>D97*2*PI()*D92/60</f>
        <v>738.73263911538481</v>
      </c>
      <c r="E99" s="250" t="s">
        <v>9</v>
      </c>
      <c r="L99" s="10"/>
      <c r="M99" s="65"/>
      <c r="N99" s="65"/>
      <c r="O99" s="65"/>
      <c r="P99" s="65"/>
      <c r="Q99" s="65"/>
      <c r="R99" s="65"/>
      <c r="S99" s="10"/>
      <c r="T99" s="10"/>
      <c r="AA99" s="107"/>
      <c r="AB99" s="107"/>
      <c r="AC99" s="107"/>
      <c r="AD99" s="107"/>
      <c r="AE99" s="107"/>
      <c r="AF99" s="107"/>
      <c r="AG99" s="107"/>
      <c r="AH99" s="107"/>
      <c r="AI99" s="107"/>
      <c r="AJ99" s="107"/>
      <c r="AK99" s="107"/>
    </row>
    <row r="100" spans="1:37">
      <c r="L100" s="10"/>
      <c r="M100" s="65"/>
      <c r="N100" s="65"/>
      <c r="O100" s="65"/>
      <c r="P100" s="65"/>
      <c r="Q100" s="65"/>
      <c r="R100" s="65"/>
      <c r="S100" s="10"/>
      <c r="T100" s="10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  <c r="AK100" s="107"/>
    </row>
    <row r="101" spans="1:37">
      <c r="L101" s="9"/>
      <c r="M101" s="82">
        <f>C113+C112</f>
        <v>40.093215306885526</v>
      </c>
      <c r="N101" s="65"/>
      <c r="O101" s="65"/>
      <c r="P101" s="65"/>
      <c r="Q101" s="65"/>
      <c r="R101" s="65"/>
      <c r="S101" s="10"/>
      <c r="T101" s="10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</row>
    <row r="102" spans="1:37" ht="18.75">
      <c r="A102" s="64" t="s">
        <v>74</v>
      </c>
      <c r="B102" s="9"/>
      <c r="C102" s="10"/>
      <c r="D102" s="10"/>
      <c r="E102" s="76"/>
      <c r="F102" s="76"/>
      <c r="L102" s="9"/>
      <c r="M102" s="82"/>
      <c r="N102" s="65"/>
      <c r="O102" s="65"/>
      <c r="P102" s="65"/>
      <c r="Q102" s="65"/>
      <c r="R102" s="82">
        <f>(M91+M101)/2</f>
        <v>24.046607653442763</v>
      </c>
      <c r="S102" s="10"/>
      <c r="T102" s="10"/>
      <c r="AA102" s="107"/>
      <c r="AB102" s="107"/>
      <c r="AC102" s="107"/>
      <c r="AD102" s="107"/>
      <c r="AE102" s="107"/>
      <c r="AF102" s="107"/>
      <c r="AG102" s="107"/>
      <c r="AH102" s="107"/>
      <c r="AI102" s="107"/>
      <c r="AJ102" s="107"/>
      <c r="AK102" s="107"/>
    </row>
    <row r="103" spans="1:37">
      <c r="A103" s="140" t="s">
        <v>75</v>
      </c>
      <c r="B103" s="155" t="s">
        <v>39</v>
      </c>
      <c r="C103" s="126">
        <v>8000</v>
      </c>
      <c r="D103" s="167">
        <v>8000</v>
      </c>
      <c r="E103" s="78" t="s">
        <v>9</v>
      </c>
      <c r="F103" s="76"/>
      <c r="L103" s="9"/>
      <c r="M103" s="82"/>
      <c r="N103" s="65"/>
      <c r="O103" s="65"/>
      <c r="P103" s="65"/>
      <c r="Q103" s="65"/>
      <c r="R103" s="82"/>
      <c r="S103" s="10"/>
      <c r="T103" s="10"/>
      <c r="AC103" s="107"/>
      <c r="AD103" s="107"/>
      <c r="AE103" s="107"/>
      <c r="AF103" s="107"/>
      <c r="AG103" s="107"/>
      <c r="AH103" s="107"/>
      <c r="AI103" s="107"/>
      <c r="AJ103" s="107"/>
      <c r="AK103" s="107"/>
    </row>
    <row r="104" spans="1:37">
      <c r="A104" s="130" t="s">
        <v>76</v>
      </c>
      <c r="B104" s="156" t="s">
        <v>77</v>
      </c>
      <c r="C104" s="123">
        <v>185000</v>
      </c>
      <c r="D104" s="128">
        <v>185000</v>
      </c>
      <c r="E104" s="76" t="s">
        <v>78</v>
      </c>
      <c r="F104" s="76"/>
      <c r="L104" s="9"/>
      <c r="M104" s="65"/>
      <c r="N104" s="65"/>
      <c r="O104" s="65"/>
      <c r="P104" s="65"/>
      <c r="Q104" s="65"/>
      <c r="R104" s="82"/>
      <c r="S104" s="10"/>
      <c r="T104" s="10"/>
      <c r="U104" s="78"/>
      <c r="AC104" s="107"/>
      <c r="AD104" s="107"/>
      <c r="AE104" s="107"/>
      <c r="AF104" s="107"/>
      <c r="AG104" s="107"/>
      <c r="AH104" s="107"/>
      <c r="AI104" s="107"/>
      <c r="AJ104" s="107"/>
      <c r="AK104" s="107"/>
    </row>
    <row r="105" spans="1:37">
      <c r="A105" s="158" t="s">
        <v>86</v>
      </c>
      <c r="B105" s="159" t="s">
        <v>87</v>
      </c>
      <c r="C105" s="163">
        <f>PI()*(10^12*C72^4-(10^3*C72-2*C73)^4)/(64*10^4)</f>
        <v>7154.0925175196962</v>
      </c>
      <c r="D105" s="170">
        <f>PI()*(10^12*D72^4-(10^3*D72-2*D73)^4)/(64*10^4)</f>
        <v>7154.0925175196962</v>
      </c>
      <c r="E105" s="135" t="s">
        <v>9</v>
      </c>
      <c r="F105" s="76"/>
      <c r="L105" s="9"/>
      <c r="M105" s="65"/>
      <c r="N105" s="65"/>
      <c r="O105" s="65"/>
      <c r="P105" s="65"/>
      <c r="Q105" s="65"/>
      <c r="R105" s="65"/>
      <c r="S105" s="10"/>
      <c r="T105" s="10"/>
      <c r="U105" s="67"/>
      <c r="AC105" s="107"/>
      <c r="AD105" s="107"/>
      <c r="AE105" s="107"/>
      <c r="AF105" s="107"/>
      <c r="AG105" s="107"/>
      <c r="AH105" s="107"/>
      <c r="AI105" s="107"/>
      <c r="AJ105" s="107"/>
      <c r="AK105" s="107"/>
    </row>
    <row r="106" spans="1:37">
      <c r="A106" s="160" t="s">
        <v>88</v>
      </c>
      <c r="B106" s="159" t="s">
        <v>89</v>
      </c>
      <c r="C106" s="163">
        <f>PI()*(10^12*C72^4-(10^3*C72-2*C73)^4)/(16*C72*10^6)</f>
        <v>1048.2186838856699</v>
      </c>
      <c r="D106" s="170">
        <f>PI()*(10^12*D72^4-(10^3*D72-2*D73)^4)/(16*D72*10^6)</f>
        <v>1048.2186838856699</v>
      </c>
      <c r="E106" s="135" t="s">
        <v>9</v>
      </c>
      <c r="F106" s="136"/>
      <c r="AC106" s="107"/>
      <c r="AD106" s="107"/>
      <c r="AE106" s="107"/>
      <c r="AF106" s="107"/>
      <c r="AG106" s="107"/>
      <c r="AH106" s="107"/>
      <c r="AI106" s="107"/>
      <c r="AJ106" s="107"/>
      <c r="AK106" s="107"/>
    </row>
    <row r="107" spans="1:37">
      <c r="A107" s="160" t="s">
        <v>90</v>
      </c>
      <c r="B107" s="159" t="s">
        <v>89</v>
      </c>
      <c r="C107" s="163">
        <f>C105*10/(10^3*C72/2)</f>
        <v>524.10934194283482</v>
      </c>
      <c r="D107" s="170">
        <f>D105*10/(10^3*D72/2)</f>
        <v>524.10934194283482</v>
      </c>
      <c r="E107" s="135" t="s">
        <v>9</v>
      </c>
      <c r="F107" s="136"/>
      <c r="M107" s="85" t="s">
        <v>91</v>
      </c>
      <c r="N107" s="86" t="s">
        <v>92</v>
      </c>
      <c r="O107" s="86" t="s">
        <v>76</v>
      </c>
      <c r="P107" s="6"/>
      <c r="Q107" s="87" t="s">
        <v>93</v>
      </c>
      <c r="R107" s="68"/>
      <c r="AC107" s="107"/>
      <c r="AD107" s="107"/>
      <c r="AE107" s="107"/>
      <c r="AF107" s="107"/>
      <c r="AG107" s="107"/>
      <c r="AH107" s="107"/>
      <c r="AI107" s="107"/>
      <c r="AJ107" s="107"/>
      <c r="AK107" s="107"/>
    </row>
    <row r="108" spans="1:37">
      <c r="A108" s="161" t="s">
        <v>94</v>
      </c>
      <c r="B108" s="162" t="s">
        <v>47</v>
      </c>
      <c r="C108" s="163">
        <f>C83*1000+C81</f>
        <v>11969.074734627067</v>
      </c>
      <c r="D108" s="170">
        <f>D83*1000+D81</f>
        <v>15680.987931400823</v>
      </c>
      <c r="E108" s="78" t="s">
        <v>9</v>
      </c>
      <c r="F108" s="99"/>
      <c r="M108" s="88" t="s">
        <v>0</v>
      </c>
      <c r="N108" s="89" t="s">
        <v>95</v>
      </c>
      <c r="O108" s="89" t="s">
        <v>96</v>
      </c>
      <c r="P108" s="8"/>
      <c r="Q108" s="90" t="s">
        <v>97</v>
      </c>
      <c r="R108" s="69"/>
      <c r="AE108" s="107"/>
      <c r="AF108" s="107"/>
      <c r="AG108" s="107"/>
      <c r="AH108" s="107"/>
      <c r="AI108" s="107"/>
      <c r="AJ108" s="107"/>
      <c r="AK108" s="107"/>
    </row>
    <row r="109" spans="1:37">
      <c r="A109" s="160" t="s">
        <v>98</v>
      </c>
      <c r="B109" s="159" t="s">
        <v>99</v>
      </c>
      <c r="C109" s="163">
        <f>C27*(0.25*PI()*(10^6*(C71-2*C29/1000)^2-10^6*C72^2)*C74*C83*1000*C103/(10^12*C77))</f>
        <v>1187.8365646691543</v>
      </c>
      <c r="D109" s="170">
        <f>D27*(0.25*PI()*(10^6*(D71-2*D29/1000)^2-10^6*D72^2)*D74*D83*1000*D103/(10^12*D77))</f>
        <v>1575.6558307855773</v>
      </c>
      <c r="E109" s="78" t="s">
        <v>9</v>
      </c>
      <c r="F109" s="99"/>
      <c r="M109" s="91"/>
      <c r="N109" s="92" t="s">
        <v>100</v>
      </c>
      <c r="O109" s="92" t="s">
        <v>101</v>
      </c>
      <c r="P109" s="8"/>
      <c r="Q109" s="8"/>
      <c r="R109" s="69"/>
      <c r="AE109" s="107"/>
      <c r="AF109" s="107"/>
      <c r="AG109" s="107"/>
      <c r="AH109" s="107"/>
      <c r="AI109" s="107"/>
      <c r="AJ109" s="107"/>
      <c r="AK109" s="107"/>
    </row>
    <row r="110" spans="1:37">
      <c r="A110" s="160" t="s">
        <v>102</v>
      </c>
      <c r="B110" s="159" t="s">
        <v>99</v>
      </c>
      <c r="C110" s="163">
        <f>(0.25*PI()*(10^6*C72^2-(10^3*C72-2*C73)^2))*C83*1000*C103/10^9</f>
        <v>751.4857150193501</v>
      </c>
      <c r="D110" s="170">
        <f>(0.25*PI()*(10^6*D72^2-(10^3*D72-2*D73)^2))*D83*1000*D103/10^9</f>
        <v>996.83987161323648</v>
      </c>
      <c r="E110" s="78" t="s">
        <v>9</v>
      </c>
      <c r="F110" s="137"/>
      <c r="M110" s="93">
        <v>20</v>
      </c>
      <c r="N110" s="94">
        <v>220</v>
      </c>
      <c r="O110" s="94">
        <v>195</v>
      </c>
      <c r="P110" s="8"/>
      <c r="Q110" s="8"/>
      <c r="R110" s="69"/>
      <c r="AE110" s="107"/>
      <c r="AF110" s="107"/>
      <c r="AG110" s="107"/>
      <c r="AH110" s="107"/>
      <c r="AI110" s="107"/>
      <c r="AJ110" s="107"/>
      <c r="AK110" s="107"/>
    </row>
    <row r="111" spans="1:37">
      <c r="A111" s="160" t="s">
        <v>103</v>
      </c>
      <c r="B111" s="159" t="s">
        <v>55</v>
      </c>
      <c r="C111" s="164">
        <f>(C109+C110)*9.81</f>
        <v>19024.751563744227</v>
      </c>
      <c r="D111" s="171">
        <f>(D109+D110)*9.81</f>
        <v>25236.182840532361</v>
      </c>
      <c r="E111" s="78" t="s">
        <v>9</v>
      </c>
      <c r="F111" s="137"/>
      <c r="M111" s="93">
        <v>100</v>
      </c>
      <c r="N111" s="94">
        <v>166</v>
      </c>
      <c r="O111" s="94">
        <v>191</v>
      </c>
      <c r="P111" s="8"/>
      <c r="Q111" s="8"/>
      <c r="R111" s="69"/>
    </row>
    <row r="112" spans="1:37">
      <c r="A112" s="130" t="s">
        <v>104</v>
      </c>
      <c r="B112" s="156" t="s">
        <v>47</v>
      </c>
      <c r="C112" s="165">
        <f>5/384*(C111)*C108^3/(C104*C105*10^4)</f>
        <v>32.093215306885526</v>
      </c>
      <c r="D112" s="172">
        <f>5/384*(D111)*D108^3/(D104*D105*10^4)</f>
        <v>95.73184442611776</v>
      </c>
      <c r="E112" s="138" t="s">
        <v>9</v>
      </c>
      <c r="F112" s="137"/>
      <c r="M112" s="93">
        <v>150</v>
      </c>
      <c r="N112" s="94">
        <v>152</v>
      </c>
      <c r="O112" s="94">
        <v>187</v>
      </c>
      <c r="P112" s="8"/>
      <c r="Q112" s="8"/>
      <c r="R112" s="69"/>
    </row>
    <row r="113" spans="1:23">
      <c r="A113" s="130" t="s">
        <v>105</v>
      </c>
      <c r="B113" s="156" t="s">
        <v>47</v>
      </c>
      <c r="C113" s="127">
        <v>8</v>
      </c>
      <c r="D113" s="173">
        <v>8</v>
      </c>
      <c r="E113" s="138" t="s">
        <v>9</v>
      </c>
      <c r="F113" s="76"/>
      <c r="M113" s="93">
        <v>200</v>
      </c>
      <c r="N113" s="94">
        <v>137</v>
      </c>
      <c r="O113" s="94">
        <v>183</v>
      </c>
      <c r="P113" s="8"/>
      <c r="Q113" s="8"/>
      <c r="R113" s="69"/>
    </row>
    <row r="114" spans="1:23">
      <c r="A114" s="130" t="s">
        <v>106</v>
      </c>
      <c r="B114" s="156" t="s">
        <v>77</v>
      </c>
      <c r="C114" s="165">
        <f>(0.5*(0.5*(C111)*C108-0.25*(C111)*C83*1000))/(C107*10^3)</f>
        <v>57.030924913015525</v>
      </c>
      <c r="D114" s="172">
        <f>(0.5*(0.5*(D111)*D108-0.25*(D111)*D83*1000))/(D107*10^3)</f>
        <v>97.992431011214919</v>
      </c>
      <c r="E114" s="138" t="s">
        <v>9</v>
      </c>
      <c r="F114" s="76"/>
      <c r="G114" s="65"/>
      <c r="H114" s="65"/>
      <c r="I114" s="65"/>
      <c r="J114" s="65"/>
      <c r="K114" s="65"/>
      <c r="L114" s="67"/>
      <c r="M114" s="93">
        <v>250</v>
      </c>
      <c r="N114" s="94">
        <v>127</v>
      </c>
      <c r="O114" s="94">
        <v>181</v>
      </c>
      <c r="P114" s="8"/>
      <c r="Q114" s="8"/>
      <c r="R114" s="69"/>
    </row>
    <row r="115" spans="1:23">
      <c r="A115" s="130" t="s">
        <v>108</v>
      </c>
      <c r="B115" s="156" t="s">
        <v>77</v>
      </c>
      <c r="C115" s="165">
        <f>C97*1000/(C106*10^3)</f>
        <v>0.68785076626378272</v>
      </c>
      <c r="D115" s="172">
        <f>D97*1000/(D106*10^3)</f>
        <v>3.121675840761319</v>
      </c>
      <c r="E115" s="139" t="s">
        <v>109</v>
      </c>
      <c r="F115" s="76"/>
      <c r="J115" s="10"/>
      <c r="K115" s="65"/>
      <c r="L115" s="67"/>
      <c r="M115" s="93">
        <v>300</v>
      </c>
      <c r="N115" s="94">
        <v>118</v>
      </c>
      <c r="O115" s="94">
        <v>176</v>
      </c>
      <c r="P115" s="8"/>
      <c r="Q115" s="8"/>
      <c r="R115" s="69"/>
    </row>
    <row r="116" spans="1:23">
      <c r="A116" s="143" t="s">
        <v>110</v>
      </c>
      <c r="B116" s="157" t="s">
        <v>77</v>
      </c>
      <c r="C116" s="166">
        <f>((C114^2)+(3*(C115^2)))^0.5</f>
        <v>57.043367821894627</v>
      </c>
      <c r="D116" s="174">
        <f>((D114^2)+(3*(D115^2)))^0.5</f>
        <v>98.141485191798964</v>
      </c>
      <c r="E116" s="243">
        <v>50</v>
      </c>
      <c r="F116" s="76"/>
      <c r="J116" s="10"/>
      <c r="K116" s="65"/>
      <c r="L116" s="5"/>
      <c r="M116" s="72" t="s">
        <v>107</v>
      </c>
      <c r="N116" s="70"/>
      <c r="O116" s="70"/>
      <c r="P116" s="70"/>
      <c r="Q116" s="70"/>
      <c r="R116" s="71"/>
    </row>
    <row r="117" spans="1:23">
      <c r="F117" s="139"/>
      <c r="J117" s="10"/>
      <c r="K117" s="10"/>
      <c r="L117" s="5"/>
    </row>
    <row r="118" spans="1:23">
      <c r="F118" s="139"/>
      <c r="J118" s="9"/>
      <c r="K118" s="10"/>
      <c r="L118" s="5"/>
      <c r="O118" s="9"/>
      <c r="P118" s="9"/>
      <c r="Q118" s="9"/>
      <c r="R118" s="9"/>
      <c r="S118" s="9"/>
      <c r="T118" s="9"/>
      <c r="U118" s="9"/>
      <c r="V118" s="9"/>
      <c r="W118" s="9"/>
    </row>
    <row r="119" spans="1:23">
      <c r="F119" s="139"/>
      <c r="J119" s="9"/>
      <c r="K119" s="10"/>
      <c r="L119" s="10"/>
      <c r="O119" s="9"/>
      <c r="P119" s="9"/>
      <c r="Q119" s="9"/>
      <c r="R119" s="9"/>
      <c r="S119" s="9"/>
      <c r="T119" s="9"/>
      <c r="U119" s="9"/>
      <c r="V119" s="9"/>
      <c r="W119" s="9"/>
    </row>
    <row r="120" spans="1:23">
      <c r="F120" s="139"/>
      <c r="J120" s="9"/>
      <c r="K120" s="9"/>
      <c r="L120" s="10"/>
      <c r="O120" s="9"/>
      <c r="P120" s="9"/>
      <c r="Q120" s="9"/>
      <c r="R120" s="9"/>
      <c r="S120" s="9"/>
      <c r="T120" s="9"/>
      <c r="U120" s="9"/>
      <c r="V120" s="9"/>
      <c r="W120" s="9"/>
    </row>
    <row r="121" spans="1:23">
      <c r="F121" s="243"/>
      <c r="J121" s="9"/>
      <c r="K121" s="9"/>
      <c r="L121" s="10"/>
      <c r="O121" s="9"/>
      <c r="P121" s="9"/>
      <c r="Q121" s="9"/>
      <c r="R121" s="9"/>
      <c r="S121" s="9"/>
      <c r="T121" s="9"/>
      <c r="U121" s="9"/>
      <c r="V121" s="9"/>
      <c r="W121" s="9"/>
    </row>
    <row r="122" spans="1:23">
      <c r="F122" s="122"/>
      <c r="J122" s="9"/>
      <c r="K122" s="9"/>
      <c r="L122" s="10"/>
      <c r="O122" s="9"/>
      <c r="P122" s="9"/>
      <c r="Q122" s="9"/>
      <c r="R122" s="9"/>
      <c r="S122" s="9"/>
      <c r="T122" s="9"/>
      <c r="U122" s="9"/>
      <c r="V122" s="9"/>
      <c r="W122" s="9"/>
    </row>
    <row r="123" spans="1:23">
      <c r="A123" s="122"/>
      <c r="B123" s="122"/>
      <c r="C123" s="122"/>
      <c r="D123" s="122"/>
      <c r="E123" s="122"/>
      <c r="F123" s="122"/>
      <c r="J123" s="9"/>
      <c r="K123" s="9"/>
      <c r="L123" s="10"/>
      <c r="O123" s="9"/>
      <c r="P123" s="9"/>
      <c r="Q123" s="9"/>
      <c r="R123" s="9"/>
      <c r="S123" s="9"/>
      <c r="T123" s="9"/>
      <c r="U123" s="9"/>
      <c r="V123" s="9"/>
      <c r="W123" s="9"/>
    </row>
    <row r="124" spans="1:23">
      <c r="A124" s="122"/>
      <c r="B124" s="122"/>
      <c r="C124" s="122"/>
      <c r="D124" s="122"/>
      <c r="E124" s="122"/>
      <c r="F124" s="122"/>
      <c r="J124" s="9"/>
      <c r="K124" s="9"/>
      <c r="L124" s="10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</row>
    <row r="125" spans="1:23">
      <c r="A125" s="122"/>
      <c r="B125" s="122"/>
      <c r="C125" s="122"/>
      <c r="D125" s="122"/>
      <c r="E125" s="122"/>
      <c r="F125" s="122"/>
      <c r="O125" s="9"/>
      <c r="P125" s="9"/>
      <c r="Q125" s="9"/>
      <c r="R125" s="9"/>
      <c r="S125" s="9"/>
      <c r="T125" s="9"/>
      <c r="U125" s="9"/>
      <c r="V125" s="9"/>
      <c r="W125" s="9"/>
    </row>
    <row r="126" spans="1:23">
      <c r="A126" s="122"/>
      <c r="B126" s="122"/>
      <c r="C126" s="122"/>
      <c r="D126" s="122"/>
      <c r="E126" s="122"/>
      <c r="F126" s="122"/>
      <c r="O126" s="9"/>
      <c r="P126" s="9"/>
      <c r="Q126" s="9"/>
      <c r="R126" s="9"/>
      <c r="S126" s="9"/>
      <c r="T126" s="9"/>
      <c r="U126" s="9"/>
      <c r="V126" s="9"/>
      <c r="W126" s="9"/>
    </row>
    <row r="127" spans="1:23">
      <c r="A127" s="122"/>
      <c r="B127" s="122"/>
      <c r="C127" s="122"/>
      <c r="D127" s="122"/>
      <c r="E127" s="122"/>
      <c r="F127" s="122"/>
      <c r="O127" s="9"/>
      <c r="P127" s="9"/>
      <c r="Q127" s="9"/>
      <c r="R127" s="9"/>
      <c r="S127" s="9"/>
      <c r="T127" s="9"/>
      <c r="U127" s="9"/>
      <c r="V127" s="9"/>
      <c r="W127" s="9"/>
    </row>
    <row r="128" spans="1:23">
      <c r="A128" s="124"/>
      <c r="B128" s="124"/>
      <c r="C128" s="124"/>
      <c r="D128" s="124"/>
      <c r="E128" s="122"/>
      <c r="F128" s="122"/>
      <c r="O128" s="9"/>
      <c r="P128" s="9"/>
      <c r="Q128" s="9"/>
      <c r="R128" s="9"/>
      <c r="S128" s="9"/>
      <c r="T128" s="9"/>
      <c r="U128" s="9"/>
      <c r="V128" s="9"/>
      <c r="W128" s="9"/>
    </row>
    <row r="129" spans="1:23">
      <c r="A129" s="124"/>
      <c r="B129" s="124"/>
      <c r="C129" s="124"/>
      <c r="D129" s="124"/>
      <c r="E129" s="122"/>
      <c r="F129" s="122"/>
      <c r="O129" s="9"/>
      <c r="P129" s="9"/>
      <c r="Q129" s="9"/>
      <c r="R129" s="9"/>
      <c r="S129" s="9"/>
      <c r="T129" s="9"/>
      <c r="U129" s="9"/>
      <c r="V129" s="9"/>
      <c r="W129" s="9"/>
    </row>
    <row r="130" spans="1:23">
      <c r="A130" s="73"/>
      <c r="B130" s="5"/>
      <c r="C130" s="96"/>
      <c r="D130" s="124"/>
      <c r="E130" s="122"/>
      <c r="F130" s="100"/>
      <c r="O130" s="9"/>
      <c r="P130" s="9"/>
      <c r="Q130" s="9"/>
      <c r="R130" s="9"/>
      <c r="S130" s="9"/>
      <c r="T130" s="9"/>
      <c r="U130" s="9"/>
      <c r="V130" s="9"/>
      <c r="W130" s="9"/>
    </row>
    <row r="131" spans="1:23">
      <c r="A131" s="5"/>
      <c r="B131" s="5"/>
      <c r="C131" s="98"/>
      <c r="D131" s="99"/>
      <c r="E131" s="100"/>
      <c r="F131" s="100"/>
      <c r="O131" s="9"/>
      <c r="P131" s="9"/>
      <c r="Q131" s="9"/>
      <c r="R131" s="9"/>
      <c r="S131" s="9"/>
      <c r="T131" s="9"/>
      <c r="U131" s="9"/>
      <c r="V131" s="9"/>
      <c r="W131" s="9"/>
    </row>
    <row r="132" spans="1:23">
      <c r="A132" s="5"/>
      <c r="B132" s="5"/>
      <c r="C132" s="81"/>
      <c r="D132" s="99"/>
      <c r="E132" s="100"/>
      <c r="F132" s="100"/>
      <c r="O132" s="9"/>
      <c r="P132" s="9"/>
      <c r="Q132" s="9"/>
      <c r="R132" s="9"/>
      <c r="S132" s="9"/>
      <c r="T132" s="9"/>
      <c r="U132" s="9"/>
      <c r="V132" s="9"/>
      <c r="W132" s="9"/>
    </row>
    <row r="133" spans="1:23">
      <c r="A133" s="5"/>
      <c r="B133" s="5"/>
      <c r="C133" s="81"/>
      <c r="D133" s="99"/>
      <c r="E133" s="100"/>
      <c r="F133" s="100"/>
      <c r="O133" s="9"/>
      <c r="P133" s="9"/>
      <c r="Q133" s="9"/>
      <c r="R133" s="9"/>
      <c r="S133" s="9"/>
      <c r="T133" s="9"/>
      <c r="U133" s="9"/>
      <c r="V133" s="9"/>
      <c r="W133" s="9"/>
    </row>
    <row r="134" spans="1:23">
      <c r="A134" s="5"/>
      <c r="B134" s="5"/>
      <c r="C134" s="98"/>
      <c r="D134" s="99"/>
      <c r="E134" s="100"/>
      <c r="F134" s="100"/>
      <c r="O134" s="9"/>
      <c r="P134" s="9"/>
      <c r="Q134" s="9"/>
      <c r="R134" s="9"/>
      <c r="S134" s="9"/>
      <c r="T134" s="9"/>
      <c r="U134" s="9"/>
      <c r="V134" s="9"/>
      <c r="W134" s="9"/>
    </row>
    <row r="135" spans="1:23">
      <c r="A135" s="5"/>
      <c r="B135" s="5"/>
      <c r="C135" s="98"/>
      <c r="D135" s="99"/>
      <c r="E135" s="100"/>
      <c r="F135" s="100"/>
      <c r="O135" s="9"/>
      <c r="P135" s="9"/>
      <c r="Q135" s="9"/>
      <c r="R135" s="9"/>
      <c r="S135" s="9"/>
      <c r="T135" s="9"/>
      <c r="U135" s="9"/>
      <c r="V135" s="9"/>
      <c r="W135" s="9"/>
    </row>
    <row r="136" spans="1:23">
      <c r="A136" s="5"/>
      <c r="B136" s="5"/>
      <c r="C136" s="114"/>
      <c r="D136" s="99"/>
      <c r="E136" s="100"/>
      <c r="F136" s="100"/>
      <c r="O136" s="9"/>
      <c r="P136" s="9"/>
      <c r="Q136" s="9"/>
      <c r="R136" s="9"/>
      <c r="S136" s="9"/>
      <c r="T136" s="9"/>
      <c r="U136" s="9"/>
      <c r="V136" s="9"/>
      <c r="W136" s="9"/>
    </row>
    <row r="137" spans="1:23">
      <c r="A137" s="5"/>
      <c r="B137" s="5"/>
      <c r="C137" s="114"/>
      <c r="D137" s="99"/>
      <c r="E137" s="100"/>
      <c r="F137" s="9"/>
      <c r="O137" s="9"/>
      <c r="P137" s="9"/>
      <c r="Q137" s="9"/>
      <c r="R137" s="9"/>
      <c r="S137" s="9"/>
      <c r="T137" s="9"/>
      <c r="U137" s="9"/>
      <c r="V137" s="9"/>
      <c r="W137" s="9"/>
    </row>
    <row r="138" spans="1:23">
      <c r="A138" s="5"/>
      <c r="B138" s="5"/>
      <c r="C138" s="102"/>
      <c r="D138" s="99"/>
      <c r="E138" s="9"/>
      <c r="F138" s="5"/>
      <c r="O138" s="9"/>
      <c r="P138" s="9"/>
      <c r="Q138" s="9"/>
      <c r="R138" s="9"/>
      <c r="S138" s="9"/>
      <c r="T138" s="9"/>
      <c r="U138" s="9"/>
      <c r="V138" s="9"/>
      <c r="W138" s="9"/>
    </row>
    <row r="139" spans="1:23">
      <c r="A139" s="5"/>
      <c r="B139" s="5"/>
      <c r="C139" s="81"/>
      <c r="D139" s="124"/>
      <c r="E139" s="5"/>
      <c r="F139" s="100"/>
      <c r="O139" s="9"/>
      <c r="P139" s="9"/>
      <c r="Q139" s="9"/>
      <c r="R139" s="9"/>
      <c r="S139" s="9"/>
      <c r="T139" s="9"/>
      <c r="U139" s="9"/>
      <c r="V139" s="9"/>
      <c r="W139" s="9"/>
    </row>
    <row r="140" spans="1:23">
      <c r="A140" s="5"/>
      <c r="B140" s="5"/>
      <c r="C140" s="81"/>
      <c r="D140" s="124"/>
      <c r="E140" s="100"/>
      <c r="F140" s="65"/>
      <c r="O140" s="9"/>
      <c r="P140" s="9"/>
      <c r="Q140" s="9"/>
      <c r="R140" s="9"/>
      <c r="S140" s="9"/>
      <c r="T140" s="9"/>
      <c r="U140" s="9"/>
      <c r="V140" s="9"/>
      <c r="W140" s="9"/>
    </row>
    <row r="141" spans="1:23">
      <c r="A141" s="5"/>
      <c r="B141" s="5"/>
      <c r="C141" s="84"/>
      <c r="D141" s="107"/>
      <c r="E141" s="65"/>
      <c r="F141" s="65"/>
      <c r="O141" s="9"/>
      <c r="P141" s="9"/>
      <c r="Q141" s="9"/>
      <c r="R141" s="9"/>
      <c r="S141" s="9"/>
      <c r="T141" s="9"/>
      <c r="U141" s="9"/>
      <c r="V141" s="9"/>
      <c r="W141" s="9"/>
    </row>
    <row r="142" spans="1:23">
      <c r="A142" s="5"/>
      <c r="B142" s="5"/>
      <c r="C142" s="84"/>
      <c r="D142" s="107"/>
      <c r="E142" s="65"/>
      <c r="F142" s="65"/>
      <c r="O142" s="9"/>
      <c r="P142" s="9"/>
      <c r="Q142" s="9"/>
      <c r="R142" s="9"/>
      <c r="S142" s="9"/>
      <c r="T142" s="9"/>
      <c r="U142" s="9"/>
      <c r="V142" s="9"/>
      <c r="W142" s="9"/>
    </row>
    <row r="143" spans="1:23">
      <c r="A143" s="67"/>
      <c r="B143" s="67"/>
      <c r="C143" s="67"/>
      <c r="D143" s="107"/>
      <c r="E143" s="65"/>
      <c r="F143" s="65"/>
      <c r="O143" s="9"/>
      <c r="P143" s="9"/>
      <c r="Q143" s="9"/>
      <c r="R143" s="9"/>
      <c r="S143" s="9"/>
      <c r="T143" s="9"/>
      <c r="U143" s="9"/>
      <c r="V143" s="9"/>
      <c r="W143" s="9"/>
    </row>
    <row r="144" spans="1:23">
      <c r="A144" s="73"/>
      <c r="B144" s="5"/>
      <c r="C144" s="5"/>
      <c r="D144" s="107"/>
      <c r="E144" s="65"/>
      <c r="F144" s="65"/>
      <c r="O144" s="9"/>
      <c r="P144" s="9"/>
      <c r="Q144" s="9"/>
      <c r="R144" s="9"/>
      <c r="S144" s="9"/>
      <c r="T144" s="9"/>
      <c r="U144" s="9"/>
      <c r="V144" s="9"/>
      <c r="W144" s="9"/>
    </row>
    <row r="145" spans="1:23">
      <c r="A145" s="5"/>
      <c r="B145" s="5"/>
      <c r="C145" s="77"/>
      <c r="D145" s="67"/>
      <c r="E145" s="65"/>
      <c r="F145" s="65"/>
      <c r="O145" s="9"/>
      <c r="P145" s="9"/>
      <c r="Q145" s="9"/>
      <c r="R145" s="9"/>
      <c r="S145" s="9"/>
      <c r="T145" s="9"/>
      <c r="U145" s="9"/>
      <c r="V145" s="9"/>
      <c r="W145" s="9"/>
    </row>
    <row r="146" spans="1:23">
      <c r="A146" s="5"/>
      <c r="B146" s="5"/>
      <c r="C146" s="116"/>
      <c r="D146" s="67"/>
      <c r="E146" s="65"/>
      <c r="F146" s="65"/>
      <c r="O146" s="9"/>
      <c r="P146" s="9"/>
      <c r="Q146" s="9"/>
      <c r="R146" s="9"/>
      <c r="S146" s="9"/>
      <c r="T146" s="9"/>
      <c r="U146" s="9"/>
      <c r="V146" s="9"/>
      <c r="W146" s="9"/>
    </row>
    <row r="147" spans="1:23">
      <c r="A147" s="5"/>
      <c r="B147" s="5"/>
      <c r="C147" s="117"/>
      <c r="D147" s="67"/>
      <c r="E147" s="65"/>
      <c r="F147" s="65"/>
      <c r="O147" s="9"/>
      <c r="P147" s="9"/>
      <c r="Q147" s="9"/>
      <c r="R147" s="9"/>
      <c r="S147" s="9"/>
      <c r="T147" s="9"/>
      <c r="U147" s="9"/>
      <c r="V147" s="9"/>
      <c r="W147" s="9"/>
    </row>
    <row r="148" spans="1:23">
      <c r="A148" s="5"/>
      <c r="B148" s="5"/>
      <c r="C148" s="117"/>
      <c r="D148" s="67"/>
      <c r="E148" s="65"/>
      <c r="F148" s="65"/>
      <c r="G148" s="65"/>
      <c r="H148" s="65"/>
      <c r="I148" s="65"/>
      <c r="J148" s="9"/>
      <c r="K148" s="9"/>
      <c r="L148" s="10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</row>
    <row r="149" spans="1:23">
      <c r="A149" s="5"/>
      <c r="B149" s="97"/>
      <c r="C149" s="98"/>
      <c r="D149" s="67"/>
      <c r="E149" s="65"/>
      <c r="F149" s="65"/>
      <c r="G149" s="65"/>
      <c r="H149" s="65"/>
      <c r="I149" s="65"/>
      <c r="J149" s="65"/>
      <c r="K149" s="9"/>
      <c r="L149" s="10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</row>
    <row r="150" spans="1:23">
      <c r="A150" s="5"/>
      <c r="B150" s="97"/>
      <c r="C150" s="77"/>
      <c r="D150" s="67"/>
      <c r="E150" s="65"/>
      <c r="F150" s="65"/>
      <c r="G150" s="65"/>
      <c r="H150" s="65"/>
      <c r="I150" s="65"/>
      <c r="J150" s="65"/>
      <c r="K150" s="9"/>
      <c r="L150" s="10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</row>
    <row r="151" spans="1:23">
      <c r="A151" s="5"/>
      <c r="B151" s="5"/>
      <c r="C151" s="77"/>
      <c r="D151" s="67"/>
      <c r="E151" s="65"/>
      <c r="F151" s="65"/>
      <c r="G151" s="65"/>
      <c r="H151" s="65"/>
      <c r="I151" s="65"/>
      <c r="J151" s="65"/>
      <c r="K151" s="9"/>
      <c r="L151" s="10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</row>
    <row r="152" spans="1:23">
      <c r="A152" s="5"/>
      <c r="B152" s="5"/>
      <c r="C152" s="77"/>
      <c r="D152" s="67"/>
      <c r="E152" s="65"/>
      <c r="F152" s="65"/>
      <c r="G152" s="65"/>
      <c r="H152" s="65"/>
      <c r="I152" s="65"/>
      <c r="J152" s="65"/>
      <c r="K152" s="9"/>
      <c r="L152" s="10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</row>
    <row r="153" spans="1:23">
      <c r="A153" s="5"/>
      <c r="B153" s="5"/>
      <c r="C153" s="77"/>
      <c r="D153" s="67"/>
      <c r="E153" s="65"/>
      <c r="F153" s="65"/>
      <c r="G153" s="9"/>
      <c r="H153" s="9"/>
      <c r="I153" s="9"/>
      <c r="J153" s="9"/>
      <c r="K153" s="9"/>
      <c r="L153" s="10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</row>
    <row r="154" spans="1:23">
      <c r="A154" s="5"/>
      <c r="B154" s="5"/>
      <c r="C154" s="77"/>
      <c r="D154" s="67"/>
      <c r="E154" s="65"/>
      <c r="F154" s="65"/>
      <c r="G154" s="9"/>
      <c r="H154" s="9"/>
      <c r="I154" s="9"/>
      <c r="J154" s="9"/>
      <c r="K154" s="9"/>
      <c r="L154" s="10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</row>
    <row r="155" spans="1:23">
      <c r="A155" s="5"/>
      <c r="B155" s="5"/>
      <c r="C155" s="77"/>
      <c r="D155" s="67"/>
      <c r="E155" s="65"/>
      <c r="F155" s="65"/>
      <c r="G155" s="9"/>
      <c r="H155" s="9"/>
      <c r="I155" s="9"/>
      <c r="J155" s="9"/>
      <c r="K155" s="9"/>
      <c r="L155" s="10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</row>
    <row r="156" spans="1:23">
      <c r="A156" s="5"/>
      <c r="B156" s="5"/>
      <c r="C156" s="84"/>
      <c r="D156" s="67"/>
      <c r="E156" s="65"/>
      <c r="F156" s="65"/>
      <c r="G156" s="9"/>
      <c r="H156" s="9"/>
      <c r="I156" s="9"/>
      <c r="J156" s="9"/>
      <c r="K156" s="9"/>
      <c r="L156" s="5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</row>
    <row r="157" spans="1:23">
      <c r="A157" s="5"/>
      <c r="B157" s="97"/>
      <c r="C157" s="84"/>
      <c r="D157" s="67"/>
      <c r="E157" s="65"/>
      <c r="F157" s="65"/>
      <c r="G157" s="5"/>
      <c r="H157" s="5"/>
      <c r="I157" s="5"/>
      <c r="J157" s="5"/>
      <c r="K157" s="5"/>
      <c r="L157" s="5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</row>
    <row r="158" spans="1:23">
      <c r="A158" s="5"/>
      <c r="B158" s="5"/>
      <c r="C158" s="98"/>
      <c r="D158" s="67"/>
      <c r="E158" s="65"/>
      <c r="F158" s="65"/>
      <c r="G158" s="5"/>
      <c r="H158" s="5"/>
      <c r="I158" s="5"/>
      <c r="J158" s="5"/>
      <c r="K158" s="5"/>
      <c r="L158" s="5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</row>
    <row r="159" spans="1:23">
      <c r="A159" s="5"/>
      <c r="B159" s="5"/>
      <c r="C159" s="98"/>
      <c r="D159" s="67"/>
      <c r="E159" s="65"/>
      <c r="F159" s="3"/>
      <c r="G159" s="3"/>
      <c r="H159" s="3"/>
      <c r="I159" s="3"/>
      <c r="J159" s="3"/>
      <c r="K159" s="3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</row>
    <row r="160" spans="1:23">
      <c r="A160" s="5"/>
      <c r="B160" s="5"/>
      <c r="C160" s="98"/>
      <c r="D160" s="107"/>
      <c r="E160" s="3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</row>
    <row r="161" spans="1:23">
      <c r="A161" s="5"/>
      <c r="B161" s="5"/>
      <c r="C161" s="98"/>
      <c r="D161" s="107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</row>
    <row r="162" spans="1:23">
      <c r="A162" s="5"/>
      <c r="B162" s="5"/>
      <c r="C162" s="98"/>
      <c r="D162" s="107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</row>
    <row r="163" spans="1:23">
      <c r="A163" s="5"/>
      <c r="B163" s="97"/>
      <c r="C163" s="98"/>
      <c r="D163" s="107"/>
    </row>
    <row r="164" spans="1:23">
      <c r="A164" s="5"/>
      <c r="B164" s="5"/>
      <c r="C164" s="98"/>
      <c r="D164" s="107"/>
    </row>
    <row r="165" spans="1:23">
      <c r="A165" s="67"/>
      <c r="B165" s="67"/>
      <c r="C165" s="67"/>
      <c r="D165" s="107"/>
    </row>
    <row r="166" spans="1:23">
      <c r="A166" s="73"/>
      <c r="B166" s="67"/>
      <c r="C166" s="67"/>
      <c r="D166" s="107"/>
    </row>
    <row r="167" spans="1:23">
      <c r="A167" s="5"/>
      <c r="B167" s="5"/>
      <c r="C167" s="98"/>
      <c r="D167" s="107"/>
    </row>
    <row r="168" spans="1:23">
      <c r="A168" s="5"/>
      <c r="B168" s="97"/>
      <c r="C168" s="77"/>
      <c r="D168" s="107"/>
    </row>
    <row r="169" spans="1:23">
      <c r="A169" s="5"/>
      <c r="B169" s="5"/>
      <c r="C169" s="98"/>
      <c r="D169" s="107"/>
    </row>
    <row r="170" spans="1:23">
      <c r="A170" s="5"/>
      <c r="B170" s="5"/>
      <c r="C170" s="98"/>
      <c r="D170" s="107"/>
    </row>
    <row r="171" spans="1:23">
      <c r="A171" s="5"/>
      <c r="B171" s="5"/>
      <c r="C171" s="77"/>
      <c r="D171" s="107"/>
    </row>
    <row r="172" spans="1:23">
      <c r="A172" s="73"/>
      <c r="B172" s="5"/>
      <c r="C172" s="5"/>
      <c r="D172" s="107"/>
    </row>
    <row r="173" spans="1:23">
      <c r="A173" s="5"/>
      <c r="B173" s="97"/>
      <c r="C173" s="77"/>
      <c r="D173" s="107"/>
    </row>
    <row r="174" spans="1:23">
      <c r="A174" s="5"/>
      <c r="B174" s="97"/>
      <c r="C174" s="98"/>
      <c r="D174" s="107"/>
    </row>
    <row r="175" spans="1:23">
      <c r="A175" s="5"/>
      <c r="B175" s="97"/>
      <c r="C175" s="77"/>
      <c r="D175" s="107"/>
    </row>
    <row r="176" spans="1:23">
      <c r="A176" s="5"/>
      <c r="B176" s="97"/>
      <c r="C176" s="77"/>
      <c r="D176" s="107"/>
    </row>
    <row r="177" spans="1:4">
      <c r="A177" s="5"/>
      <c r="B177" s="97"/>
      <c r="C177" s="77"/>
      <c r="D177" s="107"/>
    </row>
    <row r="178" spans="1:4">
      <c r="A178" s="5"/>
      <c r="B178" s="97"/>
      <c r="C178" s="98"/>
      <c r="D178" s="107"/>
    </row>
    <row r="179" spans="1:4">
      <c r="A179" s="5"/>
      <c r="B179" s="97"/>
      <c r="C179" s="98"/>
      <c r="D179" s="107"/>
    </row>
    <row r="180" spans="1:4">
      <c r="A180" s="5"/>
      <c r="B180" s="97"/>
      <c r="C180" s="98"/>
      <c r="D180" s="107"/>
    </row>
    <row r="181" spans="1:4">
      <c r="A181" s="5"/>
      <c r="B181" s="97"/>
      <c r="C181" s="98"/>
      <c r="D181" s="107"/>
    </row>
    <row r="182" spans="1:4">
      <c r="A182" s="5"/>
      <c r="B182" s="97"/>
      <c r="C182" s="98"/>
      <c r="D182" s="107"/>
    </row>
    <row r="183" spans="1:4">
      <c r="A183" s="5"/>
      <c r="B183" s="5"/>
      <c r="C183" s="98"/>
      <c r="D183" s="107"/>
    </row>
    <row r="184" spans="1:4">
      <c r="A184" s="5"/>
      <c r="B184" s="5"/>
      <c r="C184" s="98"/>
      <c r="D184" s="107"/>
    </row>
    <row r="185" spans="1:4">
      <c r="A185" s="5"/>
      <c r="B185" s="5"/>
      <c r="C185" s="98"/>
      <c r="D185" s="107"/>
    </row>
    <row r="186" spans="1:4">
      <c r="A186" s="118"/>
      <c r="B186" s="118"/>
      <c r="C186" s="115"/>
      <c r="D186" s="107"/>
    </row>
    <row r="187" spans="1:4">
      <c r="A187" s="5"/>
      <c r="B187" s="5"/>
      <c r="C187" s="98"/>
      <c r="D187" s="107"/>
    </row>
    <row r="188" spans="1:4">
      <c r="A188" s="5"/>
      <c r="B188" s="5"/>
      <c r="C188" s="104"/>
      <c r="D188" s="107"/>
    </row>
    <row r="189" spans="1:4">
      <c r="A189" s="5"/>
      <c r="B189" s="5"/>
      <c r="C189" s="104"/>
      <c r="D189" s="107"/>
    </row>
    <row r="190" spans="1:4">
      <c r="A190" s="5"/>
      <c r="B190" s="5"/>
      <c r="C190" s="5"/>
      <c r="D190" s="107"/>
    </row>
    <row r="191" spans="1:4">
      <c r="A191" s="73"/>
      <c r="B191" s="5"/>
      <c r="C191" s="5"/>
      <c r="D191" s="107"/>
    </row>
    <row r="192" spans="1:4">
      <c r="A192" s="5"/>
      <c r="B192" s="5"/>
      <c r="C192" s="98"/>
      <c r="D192" s="107"/>
    </row>
    <row r="193" spans="1:4">
      <c r="A193" s="5"/>
      <c r="B193" s="5"/>
      <c r="C193" s="81"/>
      <c r="D193" s="107"/>
    </row>
    <row r="194" spans="1:4">
      <c r="A194" s="5"/>
      <c r="B194" s="5"/>
      <c r="C194" s="84"/>
      <c r="D194" s="107"/>
    </row>
    <row r="195" spans="1:4">
      <c r="A195" s="5"/>
      <c r="B195" s="5"/>
      <c r="C195" s="103"/>
      <c r="D195" s="107"/>
    </row>
    <row r="196" spans="1:4">
      <c r="A196" s="5"/>
      <c r="B196" s="5"/>
      <c r="C196" s="84"/>
      <c r="D196" s="107"/>
    </row>
    <row r="197" spans="1:4">
      <c r="A197" s="5"/>
      <c r="B197" s="5"/>
      <c r="C197" s="5"/>
      <c r="D197" s="107"/>
    </row>
    <row r="198" spans="1:4">
      <c r="A198" s="73"/>
      <c r="B198" s="5"/>
      <c r="C198" s="5"/>
      <c r="D198" s="107"/>
    </row>
    <row r="199" spans="1:4">
      <c r="A199" s="73"/>
      <c r="B199" s="5"/>
      <c r="C199" s="84"/>
      <c r="D199" s="107"/>
    </row>
    <row r="200" spans="1:4">
      <c r="A200" s="73"/>
      <c r="B200" s="5"/>
      <c r="C200" s="84"/>
      <c r="D200" s="107"/>
    </row>
    <row r="201" spans="1:4">
      <c r="A201" s="73"/>
      <c r="B201" s="5"/>
      <c r="C201" s="84"/>
      <c r="D201" s="107"/>
    </row>
    <row r="202" spans="1:4">
      <c r="A202" s="73"/>
      <c r="B202" s="97"/>
      <c r="C202" s="117"/>
      <c r="D202" s="107"/>
    </row>
    <row r="203" spans="1:4">
      <c r="A203" s="73"/>
      <c r="B203" s="5"/>
      <c r="C203" s="84"/>
      <c r="D203" s="107"/>
    </row>
    <row r="204" spans="1:4">
      <c r="A204" s="73"/>
      <c r="B204" s="112"/>
      <c r="C204" s="119"/>
      <c r="D204" s="107"/>
    </row>
    <row r="205" spans="1:4">
      <c r="A205" s="73"/>
      <c r="B205" s="112"/>
      <c r="C205" s="119"/>
      <c r="D205" s="107"/>
    </row>
    <row r="206" spans="1:4">
      <c r="A206" s="73"/>
      <c r="B206" s="112"/>
      <c r="C206" s="119"/>
      <c r="D206" s="107"/>
    </row>
    <row r="207" spans="1:4">
      <c r="A207" s="73"/>
      <c r="B207" s="113"/>
      <c r="C207" s="119"/>
      <c r="D207" s="107"/>
    </row>
    <row r="208" spans="1:4">
      <c r="A208" s="73"/>
      <c r="B208" s="112"/>
      <c r="C208" s="119"/>
      <c r="D208" s="107"/>
    </row>
    <row r="209" spans="1:4">
      <c r="A209" s="73"/>
      <c r="B209" s="112"/>
      <c r="C209" s="119"/>
      <c r="D209" s="107"/>
    </row>
    <row r="210" spans="1:4">
      <c r="A210" s="73"/>
      <c r="B210" s="112"/>
      <c r="C210" s="120"/>
      <c r="D210" s="107"/>
    </row>
    <row r="211" spans="1:4">
      <c r="A211" s="73"/>
      <c r="B211" s="112"/>
      <c r="C211" s="120"/>
      <c r="D211" s="107"/>
    </row>
    <row r="212" spans="1:4">
      <c r="A212" s="73"/>
      <c r="B212" s="112"/>
      <c r="C212" s="120"/>
      <c r="D212" s="107"/>
    </row>
    <row r="213" spans="1:4">
      <c r="A213" s="73"/>
      <c r="B213" s="5"/>
      <c r="C213" s="121"/>
      <c r="D213" s="107"/>
    </row>
    <row r="214" spans="1:4">
      <c r="A214" s="73"/>
      <c r="B214" s="5"/>
      <c r="C214" s="119"/>
      <c r="D214" s="107"/>
    </row>
    <row r="215" spans="1:4">
      <c r="A215" s="73"/>
      <c r="B215" s="5"/>
      <c r="C215" s="121"/>
      <c r="D215" s="107"/>
    </row>
    <row r="216" spans="1:4">
      <c r="A216" s="73"/>
      <c r="B216" s="5"/>
      <c r="C216" s="121"/>
      <c r="D216" s="107"/>
    </row>
    <row r="217" spans="1:4">
      <c r="A217" s="73"/>
      <c r="B217" s="5"/>
      <c r="C217" s="121"/>
      <c r="D217" s="107"/>
    </row>
    <row r="218" spans="1:4">
      <c r="A218" s="73"/>
      <c r="B218" s="112"/>
      <c r="C218" s="112"/>
      <c r="D218" s="107"/>
    </row>
    <row r="219" spans="1:4">
      <c r="A219" s="107"/>
      <c r="B219" s="107"/>
      <c r="C219" s="107"/>
      <c r="D219" s="107"/>
    </row>
    <row r="220" spans="1:4">
      <c r="A220" s="107"/>
      <c r="B220" s="107"/>
      <c r="C220" s="107"/>
      <c r="D220" s="107"/>
    </row>
    <row r="221" spans="1:4">
      <c r="A221" s="107"/>
      <c r="B221" s="107"/>
      <c r="C221" s="107"/>
      <c r="D221" s="107"/>
    </row>
    <row r="222" spans="1:4">
      <c r="A222" s="107"/>
      <c r="B222" s="107"/>
      <c r="C222" s="107"/>
      <c r="D222" s="107"/>
    </row>
    <row r="223" spans="1:4">
      <c r="A223" s="107"/>
      <c r="B223" s="107"/>
      <c r="C223" s="107"/>
      <c r="D223" s="107"/>
    </row>
    <row r="224" spans="1:4">
      <c r="A224" s="107"/>
      <c r="B224" s="107"/>
      <c r="C224" s="107"/>
      <c r="D224" s="107"/>
    </row>
    <row r="225" spans="1:4">
      <c r="A225" s="107"/>
      <c r="B225" s="107"/>
      <c r="C225" s="107"/>
      <c r="D225" s="107"/>
    </row>
    <row r="226" spans="1:4">
      <c r="A226" s="107"/>
      <c r="B226" s="107"/>
      <c r="C226" s="107"/>
      <c r="D226" s="107"/>
    </row>
    <row r="227" spans="1:4">
      <c r="A227" s="107"/>
      <c r="B227" s="107"/>
      <c r="C227" s="107"/>
      <c r="D227" s="107"/>
    </row>
    <row r="228" spans="1:4">
      <c r="A228" s="107"/>
      <c r="B228" s="107"/>
      <c r="C228" s="107"/>
      <c r="D228" s="107"/>
    </row>
    <row r="229" spans="1:4">
      <c r="A229" s="107"/>
      <c r="B229" s="107"/>
      <c r="C229" s="107"/>
      <c r="D229" s="107"/>
    </row>
    <row r="230" spans="1:4">
      <c r="A230" s="107"/>
      <c r="B230" s="107"/>
      <c r="C230" s="107"/>
      <c r="D230" s="107"/>
    </row>
    <row r="231" spans="1:4">
      <c r="A231" s="107"/>
      <c r="B231" s="107"/>
      <c r="C231" s="107"/>
      <c r="D231" s="107"/>
    </row>
    <row r="232" spans="1:4">
      <c r="A232" s="107"/>
      <c r="B232" s="107"/>
      <c r="C232" s="107"/>
      <c r="D232" s="107"/>
    </row>
    <row r="233" spans="1:4">
      <c r="A233" s="107"/>
      <c r="B233" s="107"/>
      <c r="C233" s="107"/>
      <c r="D233" s="107"/>
    </row>
    <row r="234" spans="1:4">
      <c r="A234" s="107"/>
      <c r="B234" s="107"/>
      <c r="C234" s="107"/>
      <c r="D234" s="107"/>
    </row>
    <row r="235" spans="1:4">
      <c r="A235" s="107"/>
      <c r="B235" s="107"/>
      <c r="C235" s="107"/>
      <c r="D235" s="107"/>
    </row>
    <row r="236" spans="1:4">
      <c r="A236" s="107"/>
      <c r="B236" s="107"/>
      <c r="C236" s="107"/>
      <c r="D236" s="107"/>
    </row>
    <row r="237" spans="1:4">
      <c r="A237" s="107"/>
      <c r="B237" s="107"/>
      <c r="C237" s="107"/>
      <c r="D237" s="107"/>
    </row>
    <row r="238" spans="1:4">
      <c r="A238" s="107"/>
      <c r="B238" s="107"/>
      <c r="C238" s="107"/>
      <c r="D238" s="107"/>
    </row>
    <row r="239" spans="1:4">
      <c r="A239" s="107"/>
      <c r="B239" s="107"/>
      <c r="C239" s="107"/>
      <c r="D239" s="107"/>
    </row>
    <row r="240" spans="1:4">
      <c r="A240" s="107"/>
      <c r="B240" s="107"/>
      <c r="C240" s="107"/>
      <c r="D240" s="107"/>
    </row>
    <row r="241" spans="1:4">
      <c r="A241" s="107"/>
      <c r="B241" s="107"/>
      <c r="C241" s="107"/>
      <c r="D241" s="107"/>
    </row>
    <row r="242" spans="1:4">
      <c r="A242" s="107"/>
      <c r="B242" s="107"/>
      <c r="C242" s="107"/>
      <c r="D242" s="107"/>
    </row>
    <row r="243" spans="1:4">
      <c r="A243" s="107"/>
      <c r="B243" s="107"/>
      <c r="C243" s="107"/>
      <c r="D243" s="107"/>
    </row>
    <row r="244" spans="1:4">
      <c r="A244" s="107"/>
      <c r="B244" s="107"/>
      <c r="C244" s="107"/>
      <c r="D244" s="107"/>
    </row>
    <row r="245" spans="1:4">
      <c r="A245" s="107"/>
      <c r="B245" s="107"/>
      <c r="C245" s="107"/>
      <c r="D245" s="107"/>
    </row>
  </sheetData>
  <conditionalFormatting sqref="C112:C116 A110:C111 D110:D116 B204:C207 C209:C217 B209:B212 B108:B111 A107:A111 C107:D111 A105:D109">
    <cfRule type="expression" dxfId="2" priority="6" stopIfTrue="1">
      <formula>#REF!=1</formula>
    </cfRule>
  </conditionalFormatting>
  <conditionalFormatting sqref="B208:C208">
    <cfRule type="expression" dxfId="1" priority="60" stopIfTrue="1">
      <formula>$O$61=1</formula>
    </cfRule>
  </conditionalFormatting>
  <conditionalFormatting sqref="C204 C206:C212 B207:B212 B218:C218">
    <cfRule type="expression" dxfId="0" priority="61" stopIfTrue="1">
      <formula>$P$86=1</formula>
    </cfRule>
  </conditionalFormatting>
  <pageMargins left="0.70866141732283472" right="0.70866141732283472" top="0.74803149606299213" bottom="0.74803149606299213" header="0.31496062992125984" footer="0.31496062992125984"/>
  <pageSetup paperSize="8" scale="60" orientation="portrait" horizontalDpi="4294967293" verticalDpi="4294967293" r:id="rId1"/>
  <drawing r:id="rId2"/>
  <legacyDrawing r:id="rId3"/>
  <oleObjects>
    <oleObject progId="Equation.3" shapeId="2052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datasheet Torrgas</vt:lpstr>
      <vt:lpstr>calculation double screw</vt:lpstr>
      <vt:lpstr>calculation single screw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2017-03-31T14:59:38Z</dcterms:modified>
</cp:coreProperties>
</file>